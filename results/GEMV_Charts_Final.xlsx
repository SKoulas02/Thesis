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9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0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11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12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oulas\ECE\Thesis\Code\results\"/>
    </mc:Choice>
  </mc:AlternateContent>
  <xr:revisionPtr revIDLastSave="0" documentId="13_ncr:1_{964C841B-7126-4937-A16A-BFC972D66386}" xr6:coauthVersionLast="47" xr6:coauthVersionMax="47" xr10:uidLastSave="{00000000-0000-0000-0000-000000000000}"/>
  <bookViews>
    <workbookView xWindow="-110" yWindow="-110" windowWidth="25820" windowHeight="15500" firstSheet="22" activeTab="27" xr2:uid="{00000000-000D-0000-FFFF-FFFF00000000}"/>
  </bookViews>
  <sheets>
    <sheet name="HBM Channels" sheetId="33" r:id="rId1"/>
    <sheet name="Workload" sheetId="31" r:id="rId2"/>
    <sheet name="Configurations" sheetId="29" r:id="rId3"/>
    <sheet name="MT Interference" sheetId="23" r:id="rId4"/>
    <sheet name="MT Throughput" sheetId="24" r:id="rId5"/>
    <sheet name="MT Energy" sheetId="25" r:id="rId6"/>
    <sheet name="Scale-out vs Scale-up" sheetId="26" r:id="rId7"/>
    <sheet name="Idle vs Channels" sheetId="27" r:id="rId8"/>
    <sheet name="Family Mixed Latency" sheetId="20" r:id="rId9"/>
    <sheet name="Family Mixed Energy" sheetId="21" r:id="rId10"/>
    <sheet name="Family Utilization" sheetId="19" r:id="rId11"/>
    <sheet name="Family Measured" sheetId="17" r:id="rId12"/>
    <sheet name="Family Hardware" sheetId="16" r:id="rId13"/>
    <sheet name="Family Scaling" sheetId="15" r:id="rId14"/>
    <sheet name="Family AllPoints" sheetId="14" r:id="rId15"/>
    <sheet name="Diagonal CxB64" sheetId="13" r:id="rId16"/>
    <sheet name="Serpens" sheetId="12" r:id="rId17"/>
    <sheet name="Energy 325" sheetId="11" r:id="rId18"/>
    <sheet name="Shapes 325" sheetId="10" r:id="rId19"/>
    <sheet name="Clock 300 vs 325" sheetId="9" r:id="rId20"/>
    <sheet name="Energy" sheetId="8" r:id="rId21"/>
    <sheet name="avg3 comparison" sheetId="1" r:id="rId22"/>
    <sheet name="Shapes" sheetId="2" r:id="rId23"/>
    <sheet name="Master" sheetId="3" r:id="rId24"/>
    <sheet name="Mixed sparsity" sheetId="4" r:id="rId25"/>
    <sheet name="Floorplan SLR" sheetId="5" r:id="rId26"/>
    <sheet name="Chart Data" sheetId="6" r:id="rId27"/>
    <sheet name="Charts" sheetId="7" r:id="rId28"/>
    <sheet name="Measured Charts" sheetId="18" r:id="rId29"/>
    <sheet name="Family Workload Charts" sheetId="22" r:id="rId30"/>
    <sheet name="Multi-Tenant Charts" sheetId="28" r:id="rId31"/>
    <sheet name="Configuration Charts" sheetId="30" r:id="rId32"/>
    <sheet name="Workload Charts" sheetId="32" r:id="rId33"/>
  </sheets>
  <definedNames>
    <definedName name="_xlnm._FilterDatabase" localSheetId="21" hidden="1">'avg3 comparison'!$A$1:$AH$13</definedName>
    <definedName name="_xlnm._FilterDatabase" localSheetId="19" hidden="1">'Clock 300 vs 325'!$A$1:$AH$7</definedName>
    <definedName name="_xlnm._FilterDatabase" localSheetId="2" hidden="1">Configurations!$A$1:$AC$12</definedName>
    <definedName name="_xlnm._FilterDatabase" localSheetId="15" hidden="1">'Diagonal CxB64'!$A$1:$U$8</definedName>
    <definedName name="_xlnm._FilterDatabase" localSheetId="20" hidden="1">Energy!$A$1:$V$67</definedName>
    <definedName name="_xlnm._FilterDatabase" localSheetId="17" hidden="1">'Energy 325'!$A$1:$V$67</definedName>
    <definedName name="_xlnm._FilterDatabase" localSheetId="14" hidden="1">'Family AllPoints'!$A$1:$AA$19</definedName>
    <definedName name="_xlnm._FilterDatabase" localSheetId="12" hidden="1">'Family Hardware'!$A$1:$BS$11</definedName>
    <definedName name="_xlnm._FilterDatabase" localSheetId="11" hidden="1">'Family Measured'!$A$1:$BS$7</definedName>
    <definedName name="_xlnm._FilterDatabase" localSheetId="9" hidden="1">'Family Mixed Energy'!$A$1:$W$67</definedName>
    <definedName name="_xlnm._FilterDatabase" localSheetId="8" hidden="1">'Family Mixed Latency'!$A$1:$S$12</definedName>
    <definedName name="_xlnm._FilterDatabase" localSheetId="13" hidden="1">'Family Scaling'!$A$1:$AF$7</definedName>
    <definedName name="_xlnm._FilterDatabase" localSheetId="10" hidden="1">'Family Utilization'!$A$1:$V$7</definedName>
    <definedName name="_xlnm._FilterDatabase" localSheetId="25" hidden="1">'Floorplan SLR'!$A$1:$H$16</definedName>
    <definedName name="_xlnm._FilterDatabase" localSheetId="0" hidden="1">'HBM Channels'!$A$1:$T$20</definedName>
    <definedName name="_xlnm._FilterDatabase" localSheetId="7" hidden="1">'Idle vs Channels'!$A$1:$K$9</definedName>
    <definedName name="_xlnm._FilterDatabase" localSheetId="23" hidden="1">Master!$A$1:$AF$21</definedName>
    <definedName name="_xlnm._FilterDatabase" localSheetId="24" hidden="1">'Mixed sparsity'!$A$1:$U$10</definedName>
    <definedName name="_xlnm._FilterDatabase" localSheetId="5" hidden="1">'MT Energy'!$A$1:$Q$9</definedName>
    <definedName name="_xlnm._FilterDatabase" localSheetId="3" hidden="1">'MT Interference'!$A$1:$Q$7</definedName>
    <definedName name="_xlnm._FilterDatabase" localSheetId="4" hidden="1">'MT Throughput'!$A$1:$M$5</definedName>
    <definedName name="_xlnm._FilterDatabase" localSheetId="6" hidden="1">'Scale-out vs Scale-up'!$A$1:$H$7</definedName>
    <definedName name="_xlnm._FilterDatabase" localSheetId="16" hidden="1">Serpens!$A$1:$Q$14</definedName>
    <definedName name="_xlnm._FilterDatabase" localSheetId="22" hidden="1">Shapes!$A$1:$W$61</definedName>
    <definedName name="_xlnm._FilterDatabase" localSheetId="18" hidden="1">'Shapes 325'!$A$1:$X$73</definedName>
    <definedName name="_xlnm._FilterDatabase" localSheetId="1" hidden="1">Workload!$A$1:$AZ$14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32" l="1"/>
  <c r="AF3" i="32"/>
  <c r="AG3" i="32"/>
  <c r="AH3" i="32"/>
  <c r="AI3" i="32"/>
  <c r="AJ3" i="32"/>
  <c r="AE4" i="32"/>
  <c r="AF4" i="32"/>
  <c r="AG4" i="32"/>
  <c r="AH4" i="32"/>
  <c r="AI4" i="32"/>
  <c r="AJ4" i="32"/>
  <c r="AE5" i="32"/>
  <c r="AF5" i="32"/>
  <c r="AG5" i="32"/>
  <c r="AH5" i="32"/>
  <c r="AI5" i="32"/>
  <c r="AJ5" i="32"/>
  <c r="AE6" i="32"/>
  <c r="AF6" i="32"/>
  <c r="AG6" i="32"/>
  <c r="AH6" i="32"/>
  <c r="AI6" i="32"/>
  <c r="AJ6" i="32"/>
  <c r="FB7" i="6"/>
  <c r="FA7" i="6"/>
  <c r="EZ7" i="6"/>
  <c r="EX7" i="6"/>
  <c r="EW7" i="6"/>
  <c r="EV7" i="6"/>
  <c r="FB6" i="6"/>
  <c r="FA6" i="6"/>
  <c r="EZ6" i="6"/>
  <c r="EX6" i="6"/>
  <c r="EW6" i="6"/>
  <c r="EV6" i="6"/>
  <c r="FB5" i="6"/>
  <c r="FA5" i="6"/>
  <c r="EZ5" i="6"/>
  <c r="EX5" i="6"/>
  <c r="EW5" i="6"/>
  <c r="EV5" i="6"/>
  <c r="FB4" i="6"/>
  <c r="FA4" i="6"/>
  <c r="EZ4" i="6"/>
  <c r="EX4" i="6"/>
  <c r="EW4" i="6"/>
  <c r="EV4" i="6"/>
  <c r="FB3" i="6"/>
  <c r="FA3" i="6"/>
  <c r="EZ3" i="6"/>
  <c r="EX3" i="6"/>
  <c r="EW3" i="6"/>
  <c r="EV3" i="6"/>
  <c r="FB2" i="6"/>
  <c r="FA2" i="6"/>
  <c r="EZ2" i="6"/>
  <c r="EX2" i="6"/>
  <c r="EW2" i="6"/>
  <c r="EV2" i="6"/>
  <c r="EP7" i="6"/>
  <c r="ET7" i="6" s="1" a="1"/>
  <c r="ET7" i="6" s="1"/>
  <c r="ET6" i="6" a="1"/>
  <c r="ET6" i="6" s="1"/>
  <c r="ES6" i="6" a="1"/>
  <c r="ES6" i="6" s="1"/>
  <c r="ER6" i="6" a="1"/>
  <c r="ER6" i="6" s="1"/>
  <c r="EP6" i="6"/>
  <c r="EQ6" i="6" s="1" a="1"/>
  <c r="EQ6" i="6" s="1"/>
  <c r="EP5" i="6"/>
  <c r="ER5" i="6" s="1" a="1"/>
  <c r="ER5" i="6" s="1"/>
  <c r="ET4" i="6" a="1"/>
  <c r="ET4" i="6" s="1"/>
  <c r="ES4" i="6" a="1"/>
  <c r="ES4" i="6" s="1"/>
  <c r="EQ4" i="6" a="1"/>
  <c r="EQ4" i="6" s="1"/>
  <c r="EP4" i="6"/>
  <c r="ER4" i="6" s="1" a="1"/>
  <c r="ER4" i="6" s="1"/>
  <c r="EP3" i="6"/>
  <c r="ES3" i="6" s="1" a="1"/>
  <c r="ES3" i="6" s="1"/>
  <c r="ET2" i="6" a="1"/>
  <c r="ET2" i="6" s="1"/>
  <c r="ES2" i="6" a="1"/>
  <c r="ES2" i="6" s="1"/>
  <c r="ER2" i="6" a="1"/>
  <c r="ER2" i="6"/>
  <c r="EQ2" i="6" a="1"/>
  <c r="EQ2" i="6" s="1"/>
  <c r="EP2" i="6"/>
  <c r="EO8" i="6"/>
  <c r="EN8" i="6"/>
  <c r="EM8" i="6"/>
  <c r="EL8" i="6"/>
  <c r="EJ8" i="6"/>
  <c r="EI8" i="6"/>
  <c r="EO7" i="6"/>
  <c r="EN7" i="6"/>
  <c r="EM7" i="6"/>
  <c r="EL7" i="6"/>
  <c r="EJ7" i="6"/>
  <c r="EI7" i="6"/>
  <c r="EO6" i="6"/>
  <c r="EN6" i="6"/>
  <c r="EM6" i="6"/>
  <c r="EL6" i="6"/>
  <c r="EJ6" i="6"/>
  <c r="EI6" i="6"/>
  <c r="EO5" i="6"/>
  <c r="EN5" i="6"/>
  <c r="EM5" i="6"/>
  <c r="EL5" i="6"/>
  <c r="EJ5" i="6"/>
  <c r="EI5" i="6"/>
  <c r="EO4" i="6"/>
  <c r="EN4" i="6"/>
  <c r="EM4" i="6"/>
  <c r="EL4" i="6"/>
  <c r="EJ4" i="6"/>
  <c r="EI4" i="6"/>
  <c r="EO3" i="6"/>
  <c r="EN3" i="6"/>
  <c r="EM3" i="6"/>
  <c r="EL3" i="6"/>
  <c r="EJ3" i="6"/>
  <c r="EI3" i="6"/>
  <c r="EO2" i="6"/>
  <c r="EN2" i="6"/>
  <c r="EM2" i="6"/>
  <c r="EL2" i="6"/>
  <c r="EJ2" i="6"/>
  <c r="EI2" i="6"/>
  <c r="EF13" i="6"/>
  <c r="EE13" i="6"/>
  <c r="ED13" i="6"/>
  <c r="EF12" i="6"/>
  <c r="EE12" i="6"/>
  <c r="ED12" i="6"/>
  <c r="EF11" i="6"/>
  <c r="EE11" i="6"/>
  <c r="ED11" i="6"/>
  <c r="EF10" i="6"/>
  <c r="EE10" i="6"/>
  <c r="ED10" i="6"/>
  <c r="EF9" i="6"/>
  <c r="EE9" i="6"/>
  <c r="ED9" i="6"/>
  <c r="EF8" i="6"/>
  <c r="EE8" i="6"/>
  <c r="ED8" i="6"/>
  <c r="EF7" i="6"/>
  <c r="EE7" i="6"/>
  <c r="ED7" i="6"/>
  <c r="EF6" i="6"/>
  <c r="EE6" i="6"/>
  <c r="ED6" i="6"/>
  <c r="EF5" i="6"/>
  <c r="EE5" i="6"/>
  <c r="ED5" i="6"/>
  <c r="EF4" i="6"/>
  <c r="EE4" i="6"/>
  <c r="ED4" i="6"/>
  <c r="EF3" i="6"/>
  <c r="EE3" i="6"/>
  <c r="ED3" i="6"/>
  <c r="EF2" i="6"/>
  <c r="EE2" i="6"/>
  <c r="ED2" i="6"/>
  <c r="EA14" i="6"/>
  <c r="DZ14" i="6"/>
  <c r="DY14" i="6"/>
  <c r="EA13" i="6"/>
  <c r="DZ13" i="6"/>
  <c r="DY13" i="6"/>
  <c r="EA12" i="6"/>
  <c r="DZ12" i="6"/>
  <c r="DY12" i="6"/>
  <c r="EA11" i="6"/>
  <c r="DZ11" i="6"/>
  <c r="DY11" i="6"/>
  <c r="EA10" i="6"/>
  <c r="DZ10" i="6"/>
  <c r="DY10" i="6"/>
  <c r="EA9" i="6"/>
  <c r="DZ9" i="6"/>
  <c r="DY9" i="6"/>
  <c r="EA8" i="6"/>
  <c r="DZ8" i="6"/>
  <c r="DY8" i="6"/>
  <c r="EA7" i="6"/>
  <c r="DZ7" i="6"/>
  <c r="DY7" i="6"/>
  <c r="EA6" i="6"/>
  <c r="DZ6" i="6"/>
  <c r="DY6" i="6"/>
  <c r="EA5" i="6"/>
  <c r="DZ5" i="6"/>
  <c r="DY5" i="6"/>
  <c r="EA4" i="6"/>
  <c r="DZ4" i="6"/>
  <c r="DY4" i="6"/>
  <c r="EA3" i="6"/>
  <c r="DZ3" i="6"/>
  <c r="DY3" i="6"/>
  <c r="EA2" i="6"/>
  <c r="DZ2" i="6"/>
  <c r="DY2" i="6"/>
  <c r="DO67" i="6" a="1"/>
  <c r="DO67" i="6" s="1"/>
  <c r="DN67" i="6"/>
  <c r="DW67" i="6" s="1" a="1"/>
  <c r="DW67" i="6" s="1"/>
  <c r="DU66" i="6"/>
  <c r="DU66" i="6" a="1"/>
  <c r="DQ66" i="6" a="1"/>
  <c r="DQ66" i="6" s="1"/>
  <c r="DP66" i="6" a="1"/>
  <c r="DP66" i="6" s="1"/>
  <c r="DO66" i="6" a="1"/>
  <c r="DO66" i="6" s="1"/>
  <c r="DN66" i="6"/>
  <c r="DW66" i="6" s="1" a="1"/>
  <c r="DW66" i="6" s="1"/>
  <c r="DV65" i="6" a="1"/>
  <c r="DV65" i="6" s="1"/>
  <c r="DQ65" i="6" a="1"/>
  <c r="DQ65" i="6" s="1"/>
  <c r="DP65" i="6" a="1"/>
  <c r="DP65" i="6" s="1"/>
  <c r="DO65" i="6"/>
  <c r="DO65" i="6" a="1"/>
  <c r="DN65" i="6"/>
  <c r="DW65" i="6" s="1" a="1"/>
  <c r="DW65" i="6" s="1"/>
  <c r="DV64" i="6"/>
  <c r="DV64" i="6" a="1"/>
  <c r="DU64" i="6" a="1"/>
  <c r="DU64" i="6" s="1"/>
  <c r="DR64" i="6" a="1"/>
  <c r="DR64" i="6" s="1"/>
  <c r="DQ64" i="6" a="1"/>
  <c r="DQ64" i="6" s="1"/>
  <c r="DP64" i="6"/>
  <c r="DP64" i="6" a="1"/>
  <c r="DO64" i="6" a="1"/>
  <c r="DO64" i="6" s="1"/>
  <c r="DN64" i="6"/>
  <c r="DW64" i="6" s="1" a="1"/>
  <c r="DW64" i="6" s="1"/>
  <c r="DW63" i="6" a="1"/>
  <c r="DW63" i="6" s="1"/>
  <c r="DV63" i="6"/>
  <c r="DV63" i="6" a="1"/>
  <c r="DU63" i="6" a="1"/>
  <c r="DU63" i="6" s="1"/>
  <c r="DR63" i="6" a="1"/>
  <c r="DR63" i="6" s="1"/>
  <c r="DQ63" i="6" a="1"/>
  <c r="DQ63" i="6" s="1"/>
  <c r="DP63" i="6"/>
  <c r="DP63" i="6" a="1"/>
  <c r="DO63" i="6"/>
  <c r="DO63" i="6" a="1"/>
  <c r="DN63" i="6"/>
  <c r="DR62" i="6" a="1"/>
  <c r="DR62" i="6" s="1"/>
  <c r="DQ62" i="6" a="1"/>
  <c r="DQ62" i="6" s="1"/>
  <c r="DO62" i="6"/>
  <c r="DO62" i="6" a="1"/>
  <c r="DN62" i="6"/>
  <c r="DP62" i="6" s="1" a="1"/>
  <c r="DP62" i="6" s="1"/>
  <c r="DR61" i="6" a="1"/>
  <c r="DR61" i="6" s="1"/>
  <c r="DO61" i="6" a="1"/>
  <c r="DO61" i="6" s="1"/>
  <c r="DN61" i="6"/>
  <c r="DQ61" i="6" s="1" a="1"/>
  <c r="DQ61" i="6" s="1"/>
  <c r="DU60" i="6" a="1"/>
  <c r="DU60" i="6" s="1"/>
  <c r="DR60" i="6" a="1"/>
  <c r="DR60" i="6" s="1"/>
  <c r="DQ60" i="6" a="1"/>
  <c r="DQ60" i="6" s="1"/>
  <c r="DO60" i="6"/>
  <c r="DO60" i="6" a="1"/>
  <c r="DN60" i="6"/>
  <c r="DP60" i="6" s="1" a="1"/>
  <c r="DP60" i="6" s="1"/>
  <c r="DW59" i="6" a="1"/>
  <c r="DW59" i="6" s="1"/>
  <c r="DV59" i="6" a="1"/>
  <c r="DV59" i="6" s="1"/>
  <c r="DU59" i="6" a="1"/>
  <c r="DU59" i="6" s="1"/>
  <c r="DP59" i="6" a="1"/>
  <c r="DP59" i="6" s="1"/>
  <c r="DO59" i="6"/>
  <c r="DO59" i="6" a="1"/>
  <c r="DN59" i="6"/>
  <c r="DR59" i="6" s="1" a="1"/>
  <c r="DR59" i="6" s="1"/>
  <c r="DV58" i="6" a="1"/>
  <c r="DV58" i="6" s="1"/>
  <c r="DU58" i="6" a="1"/>
  <c r="DU58" i="6" s="1"/>
  <c r="DR58" i="6" a="1"/>
  <c r="DR58" i="6" s="1"/>
  <c r="DP58" i="6"/>
  <c r="DP58" i="6" a="1"/>
  <c r="DN58" i="6"/>
  <c r="DQ58" i="6" s="1" a="1"/>
  <c r="DQ58" i="6" s="1"/>
  <c r="DW57" i="6" a="1"/>
  <c r="DW57" i="6" s="1"/>
  <c r="DV57" i="6" a="1"/>
  <c r="DV57" i="6" s="1"/>
  <c r="DU57" i="6" a="1"/>
  <c r="DU57" i="6" s="1"/>
  <c r="DR57" i="6"/>
  <c r="DR57" i="6" a="1"/>
  <c r="DQ57" i="6" a="1"/>
  <c r="DQ57" i="6" s="1"/>
  <c r="DP57" i="6"/>
  <c r="DP57" i="6" a="1"/>
  <c r="DO57" i="6" a="1"/>
  <c r="DO57" i="6" s="1"/>
  <c r="DN57" i="6"/>
  <c r="DW56" i="6" a="1"/>
  <c r="DW56" i="6" s="1"/>
  <c r="DV56" i="6" a="1"/>
  <c r="DV56" i="6" s="1"/>
  <c r="DU56" i="6" a="1"/>
  <c r="DU56" i="6" s="1"/>
  <c r="DQ56" i="6"/>
  <c r="DQ56" i="6" a="1"/>
  <c r="DO56" i="6"/>
  <c r="DO56" i="6" a="1"/>
  <c r="DN56" i="6"/>
  <c r="DR56" i="6" s="1" a="1"/>
  <c r="DR56" i="6" s="1"/>
  <c r="DW55" i="6" a="1"/>
  <c r="DW55" i="6" s="1"/>
  <c r="DV55" i="6" a="1"/>
  <c r="DV55" i="6" s="1"/>
  <c r="DO55" i="6" a="1"/>
  <c r="DO55" i="6" s="1"/>
  <c r="DN55" i="6"/>
  <c r="DU55" i="6" s="1" a="1"/>
  <c r="DU55" i="6" s="1"/>
  <c r="DW54" i="6" a="1"/>
  <c r="DW54" i="6" s="1"/>
  <c r="DV54" i="6" a="1"/>
  <c r="DV54" i="6" s="1"/>
  <c r="DO54" i="6" a="1"/>
  <c r="DO54" i="6" s="1"/>
  <c r="DN54" i="6"/>
  <c r="DU54" i="6" s="1" a="1"/>
  <c r="DU54" i="6" s="1"/>
  <c r="DW53" i="6" a="1"/>
  <c r="DW53" i="6" s="1"/>
  <c r="DO53" i="6" a="1"/>
  <c r="DO53" i="6" s="1"/>
  <c r="DN53" i="6"/>
  <c r="DV53" i="6" s="1" a="1"/>
  <c r="DV53" i="6" s="1"/>
  <c r="DN52" i="6"/>
  <c r="DO51" i="6" a="1"/>
  <c r="DO51" i="6" s="1"/>
  <c r="DN51" i="6"/>
  <c r="DW50" i="6" a="1"/>
  <c r="DW50" i="6" s="1"/>
  <c r="DU50" i="6"/>
  <c r="DU50" i="6" a="1"/>
  <c r="DQ50" i="6" a="1"/>
  <c r="DQ50" i="6" s="1"/>
  <c r="DP50" i="6" a="1"/>
  <c r="DP50" i="6" s="1"/>
  <c r="DO50" i="6"/>
  <c r="DO50" i="6" a="1"/>
  <c r="DN50" i="6"/>
  <c r="DV50" i="6" s="1" a="1"/>
  <c r="DV50" i="6" s="1"/>
  <c r="DV49" i="6" a="1"/>
  <c r="DV49" i="6" s="1"/>
  <c r="DQ49" i="6" a="1"/>
  <c r="DQ49" i="6" s="1"/>
  <c r="DP49" i="6" a="1"/>
  <c r="DP49" i="6" s="1"/>
  <c r="DO49" i="6"/>
  <c r="DO49" i="6" a="1"/>
  <c r="DN49" i="6"/>
  <c r="DW49" i="6" s="1" a="1"/>
  <c r="DW49" i="6" s="1"/>
  <c r="DV48" i="6"/>
  <c r="DV48" i="6" a="1"/>
  <c r="DU48" i="6" a="1"/>
  <c r="DU48" i="6" s="1"/>
  <c r="DR48" i="6" a="1"/>
  <c r="DR48" i="6" s="1"/>
  <c r="DQ48" i="6" a="1"/>
  <c r="DQ48" i="6" s="1"/>
  <c r="DP48" i="6"/>
  <c r="DP48" i="6" a="1"/>
  <c r="DO48" i="6" a="1"/>
  <c r="DO48" i="6" s="1"/>
  <c r="DN48" i="6"/>
  <c r="DW48" i="6" s="1" a="1"/>
  <c r="DW48" i="6" s="1"/>
  <c r="DW47" i="6" a="1"/>
  <c r="DW47" i="6" s="1"/>
  <c r="DV47" i="6"/>
  <c r="DV47" i="6" a="1"/>
  <c r="DU47" i="6" a="1"/>
  <c r="DU47" i="6" s="1"/>
  <c r="DR47" i="6" a="1"/>
  <c r="DR47" i="6" s="1"/>
  <c r="DQ47" i="6" a="1"/>
  <c r="DQ47" i="6" s="1"/>
  <c r="DP47" i="6"/>
  <c r="DP47" i="6" a="1"/>
  <c r="DO47" i="6"/>
  <c r="DO47" i="6" a="1"/>
  <c r="DN47" i="6"/>
  <c r="DR46" i="6" a="1"/>
  <c r="DR46" i="6" s="1"/>
  <c r="DQ46" i="6" a="1"/>
  <c r="DQ46" i="6" s="1"/>
  <c r="DN46" i="6"/>
  <c r="DP46" i="6" s="1" a="1"/>
  <c r="DP46" i="6" s="1"/>
  <c r="DR45" i="6" a="1"/>
  <c r="DR45" i="6" s="1"/>
  <c r="DO45" i="6" a="1"/>
  <c r="DO45" i="6" s="1"/>
  <c r="DN45" i="6"/>
  <c r="DQ45" i="6" s="1" a="1"/>
  <c r="DQ45" i="6" s="1"/>
  <c r="DU44" i="6" a="1"/>
  <c r="DU44" i="6" s="1"/>
  <c r="DR44" i="6"/>
  <c r="DR44" i="6" a="1"/>
  <c r="DQ44" i="6" a="1"/>
  <c r="DQ44" i="6" s="1"/>
  <c r="DO44" i="6"/>
  <c r="DO44" i="6" a="1"/>
  <c r="DN44" i="6"/>
  <c r="DP44" i="6" s="1" a="1"/>
  <c r="DP44" i="6" s="1"/>
  <c r="DW43" i="6" a="1"/>
  <c r="DW43" i="6" s="1"/>
  <c r="DV43" i="6" a="1"/>
  <c r="DV43" i="6" s="1"/>
  <c r="DU43" i="6" a="1"/>
  <c r="DU43" i="6" s="1"/>
  <c r="DR43" i="6"/>
  <c r="DP43" i="6" a="1"/>
  <c r="DP43" i="6" s="1"/>
  <c r="DO43" i="6"/>
  <c r="DO43" i="6" a="1"/>
  <c r="DN43" i="6"/>
  <c r="DR43" i="6" s="1" a="1"/>
  <c r="DV42" i="6" a="1"/>
  <c r="DV42" i="6" s="1"/>
  <c r="DU42" i="6" a="1"/>
  <c r="DU42" i="6" s="1"/>
  <c r="DR42" i="6" a="1"/>
  <c r="DR42" i="6" s="1"/>
  <c r="DP42" i="6"/>
  <c r="DP42" i="6" a="1"/>
  <c r="DO42" i="6"/>
  <c r="DO42" i="6" a="1"/>
  <c r="DN42" i="6"/>
  <c r="DQ42" i="6" s="1" a="1"/>
  <c r="DQ42" i="6" s="1"/>
  <c r="DW41" i="6" a="1"/>
  <c r="DW41" i="6" s="1"/>
  <c r="DV41" i="6" a="1"/>
  <c r="DV41" i="6" s="1"/>
  <c r="DU41" i="6" a="1"/>
  <c r="DU41" i="6" s="1"/>
  <c r="DR41" i="6"/>
  <c r="DR41" i="6" a="1"/>
  <c r="DQ41" i="6" a="1"/>
  <c r="DQ41" i="6" s="1"/>
  <c r="DP41" i="6"/>
  <c r="DP41" i="6" a="1"/>
  <c r="DO41" i="6" a="1"/>
  <c r="DO41" i="6" s="1"/>
  <c r="DN41" i="6"/>
  <c r="DW40" i="6" a="1"/>
  <c r="DW40" i="6" s="1"/>
  <c r="DV40" i="6" a="1"/>
  <c r="DV40" i="6" s="1"/>
  <c r="DU40" i="6" a="1"/>
  <c r="DU40" i="6" s="1"/>
  <c r="DQ40" i="6"/>
  <c r="DQ40" i="6" a="1"/>
  <c r="DN40" i="6"/>
  <c r="DR40" i="6" s="1" a="1"/>
  <c r="DR40" i="6" s="1"/>
  <c r="DW39" i="6" a="1"/>
  <c r="DW39" i="6" s="1"/>
  <c r="DV39" i="6" a="1"/>
  <c r="DV39" i="6" s="1"/>
  <c r="DO39" i="6" a="1"/>
  <c r="DO39" i="6" s="1"/>
  <c r="DN39" i="6"/>
  <c r="DU39" i="6" s="1" a="1"/>
  <c r="DU39" i="6" s="1"/>
  <c r="DW38" i="6" a="1"/>
  <c r="DW38" i="6" s="1"/>
  <c r="DV38" i="6" a="1"/>
  <c r="DV38" i="6" s="1"/>
  <c r="DO38" i="6" a="1"/>
  <c r="DO38" i="6" s="1"/>
  <c r="DN38" i="6"/>
  <c r="DU38" i="6" s="1" a="1"/>
  <c r="DU38" i="6" s="1"/>
  <c r="DW37" i="6" a="1"/>
  <c r="DW37" i="6" s="1"/>
  <c r="DO37" i="6" a="1"/>
  <c r="DO37" i="6" s="1"/>
  <c r="DN37" i="6"/>
  <c r="DV37" i="6" s="1" a="1"/>
  <c r="DV37" i="6" s="1"/>
  <c r="DO36" i="6" a="1"/>
  <c r="DO36" i="6" s="1"/>
  <c r="DN36" i="6"/>
  <c r="DO35" i="6" a="1"/>
  <c r="DO35" i="6" s="1"/>
  <c r="DN35" i="6"/>
  <c r="DW34" i="6" a="1"/>
  <c r="DW34" i="6" s="1"/>
  <c r="DV34" i="6"/>
  <c r="DV34" i="6" a="1"/>
  <c r="DU34" i="6"/>
  <c r="DU34" i="6" a="1"/>
  <c r="DQ34" i="6" a="1"/>
  <c r="DQ34" i="6" s="1"/>
  <c r="DP34" i="6" a="1"/>
  <c r="DP34" i="6" s="1"/>
  <c r="DO34" i="6"/>
  <c r="DO34" i="6" a="1"/>
  <c r="DN34" i="6"/>
  <c r="DR34" i="6" s="1" a="1"/>
  <c r="DR34" i="6" s="1"/>
  <c r="DV33" i="6" a="1"/>
  <c r="DV33" i="6" s="1"/>
  <c r="DQ33" i="6" a="1"/>
  <c r="DQ33" i="6" s="1"/>
  <c r="DP33" i="6" a="1"/>
  <c r="DP33" i="6" s="1"/>
  <c r="DO33" i="6"/>
  <c r="DO33" i="6" a="1"/>
  <c r="DN33" i="6"/>
  <c r="DW33" i="6" s="1" a="1"/>
  <c r="DW33" i="6" s="1"/>
  <c r="DV32" i="6"/>
  <c r="DV32" i="6" a="1"/>
  <c r="DU32" i="6" a="1"/>
  <c r="DU32" i="6" s="1"/>
  <c r="DR32" i="6" a="1"/>
  <c r="DR32" i="6" s="1"/>
  <c r="DQ32" i="6" a="1"/>
  <c r="DQ32" i="6" s="1"/>
  <c r="DP32" i="6" a="1"/>
  <c r="DP32" i="6" s="1"/>
  <c r="DO32" i="6" a="1"/>
  <c r="DO32" i="6" s="1"/>
  <c r="DN32" i="6"/>
  <c r="DW32" i="6" s="1" a="1"/>
  <c r="DW32" i="6" s="1"/>
  <c r="DW31" i="6" a="1"/>
  <c r="DW31" i="6" s="1"/>
  <c r="DV31" i="6"/>
  <c r="DV31" i="6" a="1"/>
  <c r="DU31" i="6"/>
  <c r="DU31" i="6" a="1"/>
  <c r="DR31" i="6" a="1"/>
  <c r="DR31" i="6" s="1"/>
  <c r="DQ31" i="6" a="1"/>
  <c r="DQ31" i="6" s="1"/>
  <c r="DO31" i="6"/>
  <c r="DO31" i="6" a="1"/>
  <c r="DN31" i="6"/>
  <c r="DP31" i="6" s="1" a="1"/>
  <c r="DP31" i="6" s="1"/>
  <c r="DR30" i="6" a="1"/>
  <c r="DR30" i="6" s="1"/>
  <c r="DQ30" i="6" a="1"/>
  <c r="DQ30" i="6" s="1"/>
  <c r="DO30" i="6"/>
  <c r="DO30" i="6" a="1"/>
  <c r="DN30" i="6"/>
  <c r="DP30" i="6" s="1" a="1"/>
  <c r="DP30" i="6" s="1"/>
  <c r="DV29" i="6"/>
  <c r="DV29" i="6" a="1"/>
  <c r="DR29" i="6" a="1"/>
  <c r="DR29" i="6" s="1"/>
  <c r="DQ29" i="6"/>
  <c r="DO29" i="6" a="1"/>
  <c r="DO29" i="6" s="1"/>
  <c r="DN29" i="6"/>
  <c r="DQ29" i="6" s="1" a="1"/>
  <c r="DW28" i="6" a="1"/>
  <c r="DW28" i="6" s="1"/>
  <c r="DU28" i="6" a="1"/>
  <c r="DU28" i="6" s="1"/>
  <c r="DR28" i="6" a="1"/>
  <c r="DR28" i="6" s="1"/>
  <c r="DQ28" i="6" a="1"/>
  <c r="DQ28" i="6" s="1"/>
  <c r="DO28" i="6"/>
  <c r="DO28" i="6" a="1"/>
  <c r="DN28" i="6"/>
  <c r="DP28" i="6" s="1" a="1"/>
  <c r="DP28" i="6" s="1"/>
  <c r="DU27" i="6" a="1"/>
  <c r="DU27" i="6" s="1"/>
  <c r="DP27" i="6" a="1"/>
  <c r="DP27" i="6" s="1"/>
  <c r="DO27" i="6"/>
  <c r="DO27" i="6" a="1"/>
  <c r="DN27" i="6"/>
  <c r="DR27" i="6" s="1" a="1"/>
  <c r="DR27" i="6" s="1"/>
  <c r="DV26" i="6" a="1"/>
  <c r="DV26" i="6" s="1"/>
  <c r="DU26" i="6" a="1"/>
  <c r="DU26" i="6" s="1"/>
  <c r="DR26" i="6" a="1"/>
  <c r="DR26" i="6" s="1"/>
  <c r="DP26" i="6"/>
  <c r="DP26" i="6" a="1"/>
  <c r="DO26" i="6" a="1"/>
  <c r="DO26" i="6" s="1"/>
  <c r="DN26" i="6"/>
  <c r="DQ26" i="6" s="1" a="1"/>
  <c r="DQ26" i="6" s="1"/>
  <c r="DW25" i="6" a="1"/>
  <c r="DW25" i="6" s="1"/>
  <c r="DV25" i="6" a="1"/>
  <c r="DV25" i="6" s="1"/>
  <c r="DU25" i="6" a="1"/>
  <c r="DU25" i="6" s="1"/>
  <c r="DR25" i="6"/>
  <c r="DR25" i="6" a="1"/>
  <c r="DQ25" i="6" a="1"/>
  <c r="DQ25" i="6" s="1"/>
  <c r="DP25" i="6"/>
  <c r="DP25" i="6" a="1"/>
  <c r="DO25" i="6"/>
  <c r="DO25" i="6" a="1"/>
  <c r="DN25" i="6"/>
  <c r="DW24" i="6" a="1"/>
  <c r="DW24" i="6" s="1"/>
  <c r="DV24" i="6" a="1"/>
  <c r="DV24" i="6" s="1"/>
  <c r="DU24" i="6"/>
  <c r="DU24" i="6" a="1"/>
  <c r="DQ24" i="6"/>
  <c r="DQ24" i="6" a="1"/>
  <c r="DP24" i="6" a="1"/>
  <c r="DP24" i="6" s="1"/>
  <c r="DO24" i="6"/>
  <c r="DO24" i="6" a="1"/>
  <c r="DN24" i="6"/>
  <c r="DR24" i="6" s="1" a="1"/>
  <c r="DR24" i="6" s="1"/>
  <c r="DW23" i="6" a="1"/>
  <c r="DW23" i="6" s="1"/>
  <c r="DV23" i="6" a="1"/>
  <c r="DV23" i="6" s="1"/>
  <c r="DU23" i="6"/>
  <c r="DO23" i="6" a="1"/>
  <c r="DO23" i="6" s="1"/>
  <c r="DN23" i="6"/>
  <c r="DU23" i="6" s="1" a="1"/>
  <c r="DW22" i="6" a="1"/>
  <c r="DW22" i="6" s="1"/>
  <c r="DV22" i="6"/>
  <c r="DV22" i="6" a="1"/>
  <c r="DN22" i="6"/>
  <c r="DU22" i="6" s="1" a="1"/>
  <c r="DU22" i="6" s="1"/>
  <c r="DW21" i="6" a="1"/>
  <c r="DW21" i="6" s="1"/>
  <c r="DO21" i="6" a="1"/>
  <c r="DO21" i="6" s="1"/>
  <c r="DN21" i="6"/>
  <c r="DV21" i="6" s="1" a="1"/>
  <c r="DV21" i="6" s="1"/>
  <c r="DO20" i="6" a="1"/>
  <c r="DO20" i="6" s="1"/>
  <c r="DN20" i="6"/>
  <c r="DW20" i="6" s="1" a="1"/>
  <c r="DW20" i="6" s="1"/>
  <c r="DO19" i="6" a="1"/>
  <c r="DO19" i="6" s="1"/>
  <c r="DN19" i="6"/>
  <c r="DW18" i="6" a="1"/>
  <c r="DW18" i="6" s="1"/>
  <c r="DV18" i="6"/>
  <c r="DV18" i="6" a="1"/>
  <c r="DU18" i="6"/>
  <c r="DU18" i="6" a="1"/>
  <c r="DR18" i="6"/>
  <c r="DR18" i="6" a="1"/>
  <c r="DQ18" i="6" a="1"/>
  <c r="DQ18" i="6" s="1"/>
  <c r="DP18" i="6" a="1"/>
  <c r="DP18" i="6" s="1"/>
  <c r="DO18" i="6"/>
  <c r="DO18" i="6" a="1"/>
  <c r="DN18" i="6"/>
  <c r="DV17" i="6" a="1"/>
  <c r="DV17" i="6" s="1"/>
  <c r="DQ17" i="6" a="1"/>
  <c r="DQ17" i="6" s="1"/>
  <c r="DP17" i="6" a="1"/>
  <c r="DP17" i="6" s="1"/>
  <c r="DO17" i="6"/>
  <c r="DO17" i="6" a="1"/>
  <c r="DN17" i="6"/>
  <c r="DW17" i="6" s="1" a="1"/>
  <c r="DW17" i="6" s="1"/>
  <c r="DV16" i="6"/>
  <c r="DV16" i="6" a="1"/>
  <c r="DU16" i="6" a="1"/>
  <c r="DU16" i="6" s="1"/>
  <c r="DR16" i="6" a="1"/>
  <c r="DR16" i="6" s="1"/>
  <c r="DQ16" i="6" a="1"/>
  <c r="DQ16" i="6" s="1"/>
  <c r="DP16" i="6" a="1"/>
  <c r="DP16" i="6" s="1"/>
  <c r="DO16" i="6" a="1"/>
  <c r="DO16" i="6" s="1"/>
  <c r="DN16" i="6"/>
  <c r="DW16" i="6" s="1" a="1"/>
  <c r="DW16" i="6" s="1"/>
  <c r="DW15" i="6" a="1"/>
  <c r="DW15" i="6" s="1"/>
  <c r="DV15" i="6"/>
  <c r="DV15" i="6" a="1"/>
  <c r="DU15" i="6"/>
  <c r="DU15" i="6" a="1"/>
  <c r="DR15" i="6" a="1"/>
  <c r="DR15" i="6" s="1"/>
  <c r="DQ15" i="6" a="1"/>
  <c r="DQ15" i="6" s="1"/>
  <c r="DP15" i="6"/>
  <c r="DO15" i="6"/>
  <c r="DO15" i="6" a="1"/>
  <c r="DN15" i="6"/>
  <c r="DP15" i="6" s="1" a="1"/>
  <c r="DR14" i="6" a="1"/>
  <c r="DR14" i="6" s="1"/>
  <c r="DQ14" i="6" a="1"/>
  <c r="DQ14" i="6" s="1"/>
  <c r="DO14" i="6"/>
  <c r="DO14" i="6" a="1"/>
  <c r="DN14" i="6"/>
  <c r="DP14" i="6" s="1" a="1"/>
  <c r="DP14" i="6" s="1"/>
  <c r="DV13" i="6"/>
  <c r="DV13" i="6" a="1"/>
  <c r="DR13" i="6" a="1"/>
  <c r="DR13" i="6" s="1"/>
  <c r="DQ13" i="6"/>
  <c r="DO13" i="6" a="1"/>
  <c r="DO13" i="6" s="1"/>
  <c r="DN13" i="6"/>
  <c r="DQ13" i="6" s="1" a="1"/>
  <c r="DW12" i="6" a="1"/>
  <c r="DW12" i="6" s="1"/>
  <c r="DU12" i="6" a="1"/>
  <c r="DU12" i="6" s="1"/>
  <c r="DR12" i="6" a="1"/>
  <c r="DR12" i="6" s="1"/>
  <c r="DQ12" i="6" a="1"/>
  <c r="DQ12" i="6" s="1"/>
  <c r="DO12" i="6"/>
  <c r="DO12" i="6" a="1"/>
  <c r="DN12" i="6"/>
  <c r="DP12" i="6" s="1" a="1"/>
  <c r="DP12" i="6" s="1"/>
  <c r="DU11" i="6" a="1"/>
  <c r="DU11" i="6" s="1"/>
  <c r="DR11" i="6"/>
  <c r="DP11" i="6" a="1"/>
  <c r="DP11" i="6" s="1"/>
  <c r="DO11" i="6"/>
  <c r="DO11" i="6" a="1"/>
  <c r="DN11" i="6"/>
  <c r="DR11" i="6" s="1" a="1"/>
  <c r="DV10" i="6" a="1"/>
  <c r="DV10" i="6" s="1"/>
  <c r="DU10" i="6" a="1"/>
  <c r="DU10" i="6" s="1"/>
  <c r="DR10" i="6" a="1"/>
  <c r="DR10" i="6" s="1"/>
  <c r="DO10" i="6" a="1"/>
  <c r="DO10" i="6" s="1"/>
  <c r="DN10" i="6"/>
  <c r="DQ10" i="6" s="1" a="1"/>
  <c r="DQ10" i="6" s="1"/>
  <c r="DW9" i="6" a="1"/>
  <c r="DW9" i="6" s="1"/>
  <c r="DV9" i="6" a="1"/>
  <c r="DV9" i="6" s="1"/>
  <c r="DU9" i="6" a="1"/>
  <c r="DU9" i="6" s="1"/>
  <c r="DR9" i="6"/>
  <c r="DR9" i="6" a="1"/>
  <c r="DQ9" i="6" a="1"/>
  <c r="DQ9" i="6" s="1"/>
  <c r="DP9" i="6"/>
  <c r="DP9" i="6" a="1"/>
  <c r="DO9" i="6"/>
  <c r="DO9" i="6" a="1"/>
  <c r="DN9" i="6"/>
  <c r="DW8" i="6" a="1"/>
  <c r="DW8" i="6" s="1"/>
  <c r="DV8" i="6" a="1"/>
  <c r="DV8" i="6" s="1"/>
  <c r="DU8" i="6"/>
  <c r="DU8" i="6" a="1"/>
  <c r="DQ8" i="6"/>
  <c r="DQ8" i="6" a="1"/>
  <c r="DP8" i="6" a="1"/>
  <c r="DP8" i="6" s="1"/>
  <c r="DO8" i="6"/>
  <c r="DO8" i="6" a="1"/>
  <c r="DN8" i="6"/>
  <c r="DR8" i="6" s="1" a="1"/>
  <c r="DR8" i="6" s="1"/>
  <c r="DW7" i="6" a="1"/>
  <c r="DW7" i="6" s="1"/>
  <c r="DV7" i="6" a="1"/>
  <c r="DV7" i="6" s="1"/>
  <c r="DU7" i="6"/>
  <c r="DO7" i="6" a="1"/>
  <c r="DO7" i="6" s="1"/>
  <c r="DN7" i="6"/>
  <c r="DU7" i="6" s="1" a="1"/>
  <c r="DW6" i="6" a="1"/>
  <c r="DW6" i="6" s="1"/>
  <c r="DV6" i="6" a="1"/>
  <c r="DV6" i="6" s="1"/>
  <c r="DO6" i="6" a="1"/>
  <c r="DO6" i="6" s="1"/>
  <c r="DN6" i="6"/>
  <c r="DU6" i="6" s="1" a="1"/>
  <c r="DU6" i="6" s="1"/>
  <c r="DO5" i="6" a="1"/>
  <c r="DO5" i="6" s="1"/>
  <c r="DN5" i="6"/>
  <c r="DO4" i="6" a="1"/>
  <c r="DO4" i="6" s="1"/>
  <c r="DN4" i="6"/>
  <c r="DO3" i="6" a="1"/>
  <c r="DO3" i="6" s="1"/>
  <c r="DN3" i="6"/>
  <c r="DW2" i="6" a="1"/>
  <c r="DW2" i="6" s="1"/>
  <c r="DV2" i="6" a="1"/>
  <c r="DV2" i="6"/>
  <c r="DU2" i="6" a="1"/>
  <c r="DU2" i="6" s="1"/>
  <c r="DR2" i="6" a="1"/>
  <c r="DR2" i="6" s="1"/>
  <c r="DQ2" i="6" a="1"/>
  <c r="DQ2" i="6"/>
  <c r="DP2" i="6" a="1"/>
  <c r="DP2" i="6" s="1"/>
  <c r="DO2" i="6" a="1"/>
  <c r="DO2" i="6" s="1"/>
  <c r="DN2" i="6"/>
  <c r="DL12" i="6"/>
  <c r="DK12" i="6"/>
  <c r="DJ12" i="6"/>
  <c r="DI12" i="6"/>
  <c r="DH12" i="6"/>
  <c r="DG12" i="6"/>
  <c r="DF12" i="6"/>
  <c r="DD12" i="6"/>
  <c r="DC12" i="6"/>
  <c r="DB12" i="6"/>
  <c r="DA12" i="6"/>
  <c r="CZ12" i="6"/>
  <c r="CY12" i="6"/>
  <c r="DL11" i="6"/>
  <c r="DK11" i="6"/>
  <c r="DJ11" i="6"/>
  <c r="DI11" i="6"/>
  <c r="DH11" i="6"/>
  <c r="DG11" i="6"/>
  <c r="DF11" i="6"/>
  <c r="DD11" i="6"/>
  <c r="DC11" i="6"/>
  <c r="DB11" i="6"/>
  <c r="DA11" i="6"/>
  <c r="CZ11" i="6"/>
  <c r="CY11" i="6"/>
  <c r="DL10" i="6"/>
  <c r="DK10" i="6"/>
  <c r="DJ10" i="6"/>
  <c r="DI10" i="6"/>
  <c r="DH10" i="6"/>
  <c r="DG10" i="6"/>
  <c r="DF10" i="6"/>
  <c r="DD10" i="6"/>
  <c r="DC10" i="6"/>
  <c r="DB10" i="6"/>
  <c r="DA10" i="6"/>
  <c r="CZ10" i="6"/>
  <c r="CY10" i="6"/>
  <c r="DL9" i="6"/>
  <c r="DK9" i="6"/>
  <c r="DJ9" i="6"/>
  <c r="DI9" i="6"/>
  <c r="DH9" i="6"/>
  <c r="DG9" i="6"/>
  <c r="DF9" i="6"/>
  <c r="DD9" i="6"/>
  <c r="DC9" i="6"/>
  <c r="DB9" i="6"/>
  <c r="DA9" i="6"/>
  <c r="CZ9" i="6"/>
  <c r="CY9" i="6"/>
  <c r="DL8" i="6"/>
  <c r="DK8" i="6"/>
  <c r="DJ8" i="6"/>
  <c r="DI8" i="6"/>
  <c r="DH8" i="6"/>
  <c r="DG8" i="6"/>
  <c r="DF8" i="6"/>
  <c r="DD8" i="6"/>
  <c r="DC8" i="6"/>
  <c r="DB8" i="6"/>
  <c r="DA8" i="6"/>
  <c r="CZ8" i="6"/>
  <c r="CY8" i="6"/>
  <c r="DL7" i="6"/>
  <c r="DK7" i="6"/>
  <c r="DJ7" i="6"/>
  <c r="DI7" i="6"/>
  <c r="DH7" i="6"/>
  <c r="DG7" i="6"/>
  <c r="DF7" i="6"/>
  <c r="DD7" i="6"/>
  <c r="DC7" i="6"/>
  <c r="DB7" i="6"/>
  <c r="DA7" i="6"/>
  <c r="CZ7" i="6"/>
  <c r="CY7" i="6"/>
  <c r="DL6" i="6"/>
  <c r="DK6" i="6"/>
  <c r="DJ6" i="6"/>
  <c r="DI6" i="6"/>
  <c r="DH6" i="6"/>
  <c r="DG6" i="6"/>
  <c r="DF6" i="6"/>
  <c r="DD6" i="6"/>
  <c r="DC6" i="6"/>
  <c r="DB6" i="6"/>
  <c r="DA6" i="6"/>
  <c r="CZ6" i="6"/>
  <c r="CY6" i="6"/>
  <c r="DL5" i="6"/>
  <c r="DK5" i="6"/>
  <c r="DJ5" i="6"/>
  <c r="DI5" i="6"/>
  <c r="DH5" i="6"/>
  <c r="DG5" i="6"/>
  <c r="DF5" i="6"/>
  <c r="DD5" i="6"/>
  <c r="DC5" i="6"/>
  <c r="DB5" i="6"/>
  <c r="DA5" i="6"/>
  <c r="CZ5" i="6"/>
  <c r="CY5" i="6"/>
  <c r="DL4" i="6"/>
  <c r="DK4" i="6"/>
  <c r="DJ4" i="6"/>
  <c r="DI4" i="6"/>
  <c r="DH4" i="6"/>
  <c r="DG4" i="6"/>
  <c r="DF4" i="6"/>
  <c r="DD4" i="6"/>
  <c r="DC4" i="6"/>
  <c r="DB4" i="6"/>
  <c r="DA4" i="6"/>
  <c r="CZ4" i="6"/>
  <c r="CY4" i="6"/>
  <c r="DL3" i="6"/>
  <c r="DK3" i="6"/>
  <c r="DJ3" i="6"/>
  <c r="DI3" i="6"/>
  <c r="DH3" i="6"/>
  <c r="DG3" i="6"/>
  <c r="DF3" i="6"/>
  <c r="DD3" i="6"/>
  <c r="DC3" i="6"/>
  <c r="DB3" i="6"/>
  <c r="DA3" i="6"/>
  <c r="CZ3" i="6"/>
  <c r="CY3" i="6"/>
  <c r="DL2" i="6"/>
  <c r="DK2" i="6"/>
  <c r="DJ2" i="6"/>
  <c r="DI2" i="6"/>
  <c r="DH2" i="6"/>
  <c r="DG2" i="6"/>
  <c r="DF2" i="6"/>
  <c r="DD2" i="6"/>
  <c r="DC2" i="6"/>
  <c r="DB2" i="6"/>
  <c r="DA2" i="6"/>
  <c r="CZ2" i="6"/>
  <c r="CY2" i="6"/>
  <c r="CW7" i="6"/>
  <c r="CV7" i="6"/>
  <c r="CU7" i="6"/>
  <c r="CS7" i="6"/>
  <c r="CR7" i="6"/>
  <c r="CQ7" i="6"/>
  <c r="CO7" i="6"/>
  <c r="CN7" i="6"/>
  <c r="CM7" i="6"/>
  <c r="CK7" i="6"/>
  <c r="CJ7" i="6"/>
  <c r="CI7" i="6"/>
  <c r="CW6" i="6"/>
  <c r="CV6" i="6"/>
  <c r="CU6" i="6"/>
  <c r="CS6" i="6"/>
  <c r="CR6" i="6"/>
  <c r="CQ6" i="6"/>
  <c r="CO6" i="6"/>
  <c r="CN6" i="6"/>
  <c r="CM6" i="6"/>
  <c r="CK6" i="6"/>
  <c r="CJ6" i="6"/>
  <c r="CI6" i="6"/>
  <c r="CW5" i="6"/>
  <c r="CV5" i="6"/>
  <c r="CU5" i="6"/>
  <c r="CS5" i="6"/>
  <c r="CR5" i="6"/>
  <c r="CQ5" i="6"/>
  <c r="CO5" i="6"/>
  <c r="CN5" i="6"/>
  <c r="CM5" i="6"/>
  <c r="CK5" i="6"/>
  <c r="CJ5" i="6"/>
  <c r="CI5" i="6"/>
  <c r="CW4" i="6"/>
  <c r="CV4" i="6"/>
  <c r="CU4" i="6"/>
  <c r="CS4" i="6"/>
  <c r="CR4" i="6"/>
  <c r="CQ4" i="6"/>
  <c r="CO4" i="6"/>
  <c r="CN4" i="6"/>
  <c r="CM4" i="6"/>
  <c r="CK4" i="6"/>
  <c r="CJ4" i="6"/>
  <c r="CI4" i="6"/>
  <c r="CW3" i="6"/>
  <c r="CV3" i="6"/>
  <c r="CU3" i="6"/>
  <c r="CS3" i="6"/>
  <c r="CR3" i="6"/>
  <c r="CQ3" i="6"/>
  <c r="CO3" i="6"/>
  <c r="CN3" i="6"/>
  <c r="CM3" i="6"/>
  <c r="CK3" i="6"/>
  <c r="CJ3" i="6"/>
  <c r="CI3" i="6"/>
  <c r="CW2" i="6"/>
  <c r="CV2" i="6"/>
  <c r="CU2" i="6"/>
  <c r="CS2" i="6"/>
  <c r="CR2" i="6"/>
  <c r="CQ2" i="6"/>
  <c r="CO2" i="6"/>
  <c r="CN2" i="6"/>
  <c r="CM2" i="6"/>
  <c r="CK2" i="6"/>
  <c r="CJ2" i="6"/>
  <c r="CI2" i="6"/>
  <c r="BY67" i="6" a="1"/>
  <c r="BY67" i="6" s="1"/>
  <c r="BY66" i="6"/>
  <c r="BY66" i="6" a="1"/>
  <c r="BY65" i="6"/>
  <c r="BY65" i="6" a="1"/>
  <c r="BY64" i="6"/>
  <c r="BY64" i="6" a="1"/>
  <c r="BY63" i="6" a="1"/>
  <c r="BY63" i="6" s="1"/>
  <c r="BY62" i="6" a="1"/>
  <c r="BY62" i="6" s="1"/>
  <c r="BY61" i="6" a="1"/>
  <c r="BY61" i="6" s="1"/>
  <c r="BY60" i="6" a="1"/>
  <c r="BY60" i="6" s="1"/>
  <c r="BY59" i="6" a="1"/>
  <c r="BY59" i="6" s="1"/>
  <c r="BY58" i="6" a="1"/>
  <c r="BY58" i="6" s="1"/>
  <c r="BY57" i="6"/>
  <c r="BY57" i="6" a="1"/>
  <c r="BY56" i="6"/>
  <c r="BY56" i="6" a="1"/>
  <c r="BY55" i="6" a="1"/>
  <c r="BY55" i="6" s="1"/>
  <c r="BY54" i="6" a="1"/>
  <c r="BY54" i="6" s="1"/>
  <c r="BY53" i="6" a="1"/>
  <c r="BY53" i="6" s="1"/>
  <c r="BY52" i="6" a="1"/>
  <c r="BY52" i="6" s="1"/>
  <c r="BY51" i="6" a="1"/>
  <c r="BY51" i="6" s="1"/>
  <c r="BY50" i="6" a="1"/>
  <c r="BY50" i="6" s="1"/>
  <c r="BY49" i="6"/>
  <c r="BY49" i="6" a="1"/>
  <c r="BY48" i="6"/>
  <c r="BY48" i="6" a="1"/>
  <c r="BY47" i="6" a="1"/>
  <c r="BY47" i="6" s="1"/>
  <c r="BY46" i="6" a="1"/>
  <c r="BY46" i="6" s="1"/>
  <c r="BY45" i="6" a="1"/>
  <c r="BY45" i="6" s="1"/>
  <c r="BY44" i="6" a="1"/>
  <c r="BY44" i="6" s="1"/>
  <c r="BY43" i="6" a="1"/>
  <c r="BY43" i="6" s="1"/>
  <c r="BY42" i="6" a="1"/>
  <c r="BY42" i="6" s="1"/>
  <c r="BY41" i="6"/>
  <c r="BY41" i="6" a="1"/>
  <c r="BY40" i="6"/>
  <c r="BY40" i="6" a="1"/>
  <c r="BY39" i="6" a="1"/>
  <c r="BY39" i="6" s="1"/>
  <c r="BY38" i="6" a="1"/>
  <c r="BY38" i="6" s="1"/>
  <c r="BY37" i="6" a="1"/>
  <c r="BY37" i="6" s="1"/>
  <c r="BY36" i="6" a="1"/>
  <c r="BY36" i="6" s="1"/>
  <c r="BY35" i="6" a="1"/>
  <c r="BY35" i="6" s="1"/>
  <c r="BY34" i="6" a="1"/>
  <c r="BY34" i="6" s="1"/>
  <c r="BY33" i="6"/>
  <c r="BY33" i="6" a="1"/>
  <c r="BY32" i="6"/>
  <c r="BY32" i="6" a="1"/>
  <c r="BY31" i="6" a="1"/>
  <c r="BY31" i="6" s="1"/>
  <c r="BY30" i="6" a="1"/>
  <c r="BY30" i="6" s="1"/>
  <c r="BY29" i="6" a="1"/>
  <c r="BY29" i="6" s="1"/>
  <c r="BY28" i="6" a="1"/>
  <c r="BY28" i="6" s="1"/>
  <c r="BY27" i="6" a="1"/>
  <c r="BY27" i="6" s="1"/>
  <c r="BY26" i="6" a="1"/>
  <c r="BY26" i="6" s="1"/>
  <c r="BY25" i="6"/>
  <c r="BY25" i="6" a="1"/>
  <c r="BY24" i="6"/>
  <c r="BY24" i="6" a="1"/>
  <c r="BY23" i="6" a="1"/>
  <c r="BY23" i="6" s="1"/>
  <c r="BY22" i="6" a="1"/>
  <c r="BY22" i="6" s="1"/>
  <c r="BY21" i="6" a="1"/>
  <c r="BY21" i="6" s="1"/>
  <c r="BY20" i="6" a="1"/>
  <c r="BY20" i="6" s="1"/>
  <c r="BY19" i="6" a="1"/>
  <c r="BY19" i="6" s="1"/>
  <c r="BY18" i="6" a="1"/>
  <c r="BY18" i="6" s="1"/>
  <c r="BY17" i="6"/>
  <c r="BY17" i="6" a="1"/>
  <c r="BY16" i="6"/>
  <c r="BY16" i="6" a="1"/>
  <c r="BY15" i="6" a="1"/>
  <c r="BY15" i="6" s="1"/>
  <c r="BY14" i="6" a="1"/>
  <c r="BY14" i="6" s="1"/>
  <c r="BY13" i="6" a="1"/>
  <c r="BY13" i="6" s="1"/>
  <c r="BY12" i="6" a="1"/>
  <c r="BY12" i="6" s="1"/>
  <c r="BY11" i="6" a="1"/>
  <c r="BY11" i="6" s="1"/>
  <c r="BY10" i="6" a="1"/>
  <c r="BY10" i="6" s="1"/>
  <c r="BY9" i="6"/>
  <c r="BY9" i="6" a="1"/>
  <c r="BY8" i="6"/>
  <c r="BY8" i="6" a="1"/>
  <c r="BY7" i="6" a="1"/>
  <c r="BY7" i="6" s="1"/>
  <c r="BY6" i="6" a="1"/>
  <c r="BY6" i="6" s="1"/>
  <c r="BY5" i="6" a="1"/>
  <c r="BY5" i="6" s="1"/>
  <c r="BY4" i="6" a="1"/>
  <c r="BY4" i="6" s="1"/>
  <c r="BY3" i="6" a="1"/>
  <c r="BY3" i="6" s="1"/>
  <c r="BY2" i="6" a="1"/>
  <c r="BY2" i="6"/>
  <c r="CG67" i="6" a="1"/>
  <c r="CG67" i="6" s="1"/>
  <c r="CF67" i="6" a="1"/>
  <c r="CF67" i="6" s="1"/>
  <c r="CE67" i="6" a="1"/>
  <c r="CE67" i="6" s="1"/>
  <c r="CG66" i="6" a="1"/>
  <c r="CG66" i="6" s="1"/>
  <c r="CF66" i="6"/>
  <c r="CF66" i="6" a="1"/>
  <c r="CE66" i="6"/>
  <c r="CE66" i="6" a="1"/>
  <c r="CG65" i="6" a="1"/>
  <c r="CG65" i="6" s="1"/>
  <c r="CF65" i="6" a="1"/>
  <c r="CF65" i="6" s="1"/>
  <c r="CE65" i="6" a="1"/>
  <c r="CE65" i="6" s="1"/>
  <c r="CG64" i="6" a="1"/>
  <c r="CG64" i="6" s="1"/>
  <c r="CF64" i="6" a="1"/>
  <c r="CF64" i="6" s="1"/>
  <c r="CE64" i="6"/>
  <c r="CE64" i="6" a="1"/>
  <c r="CG63" i="6" a="1"/>
  <c r="CG63" i="6" s="1"/>
  <c r="CF63" i="6" a="1"/>
  <c r="CF63" i="6" s="1"/>
  <c r="CE63" i="6" a="1"/>
  <c r="CE63" i="6" s="1"/>
  <c r="CG62" i="6" a="1"/>
  <c r="CG62" i="6" s="1"/>
  <c r="CF62" i="6" a="1"/>
  <c r="CF62" i="6" s="1"/>
  <c r="CE62" i="6"/>
  <c r="CE62" i="6" a="1"/>
  <c r="CG61" i="6" a="1"/>
  <c r="CG61" i="6" s="1"/>
  <c r="CF61" i="6" a="1"/>
  <c r="CF61" i="6" s="1"/>
  <c r="CE61" i="6" a="1"/>
  <c r="CE61" i="6" s="1"/>
  <c r="CG60" i="6" a="1"/>
  <c r="CG60" i="6" s="1"/>
  <c r="CF60" i="6"/>
  <c r="CF60" i="6" a="1"/>
  <c r="CE60" i="6"/>
  <c r="CE60" i="6" a="1"/>
  <c r="CG59" i="6" a="1"/>
  <c r="CG59" i="6" s="1"/>
  <c r="CF59" i="6" a="1"/>
  <c r="CF59" i="6" s="1"/>
  <c r="CE59" i="6" a="1"/>
  <c r="CE59" i="6" s="1"/>
  <c r="CG58" i="6" a="1"/>
  <c r="CG58" i="6" s="1"/>
  <c r="CF58" i="6"/>
  <c r="CF58" i="6" a="1"/>
  <c r="CE58" i="6"/>
  <c r="CE58" i="6" a="1"/>
  <c r="CG57" i="6" a="1"/>
  <c r="CG57" i="6" s="1"/>
  <c r="CF57" i="6" a="1"/>
  <c r="CF57" i="6" s="1"/>
  <c r="CE57" i="6" a="1"/>
  <c r="CE57" i="6" s="1"/>
  <c r="CG56" i="6" a="1"/>
  <c r="CG56" i="6" s="1"/>
  <c r="CF56" i="6" a="1"/>
  <c r="CF56" i="6" s="1"/>
  <c r="CE56" i="6"/>
  <c r="CE56" i="6" a="1"/>
  <c r="CG55" i="6" a="1"/>
  <c r="CG55" i="6" s="1"/>
  <c r="CF55" i="6" a="1"/>
  <c r="CF55" i="6" s="1"/>
  <c r="CE55" i="6" a="1"/>
  <c r="CE55" i="6" s="1"/>
  <c r="CG54" i="6" a="1"/>
  <c r="CG54" i="6" s="1"/>
  <c r="CF54" i="6"/>
  <c r="CF54" i="6" a="1"/>
  <c r="CE54" i="6"/>
  <c r="CE54" i="6" a="1"/>
  <c r="CG53" i="6" a="1"/>
  <c r="CG53" i="6" s="1"/>
  <c r="CF53" i="6" a="1"/>
  <c r="CF53" i="6" s="1"/>
  <c r="CE53" i="6" a="1"/>
  <c r="CE53" i="6" s="1"/>
  <c r="CG52" i="6" a="1"/>
  <c r="CG52" i="6" s="1"/>
  <c r="CF52" i="6" a="1"/>
  <c r="CF52" i="6" s="1"/>
  <c r="CE52" i="6"/>
  <c r="CE52" i="6" a="1"/>
  <c r="CG51" i="6" a="1"/>
  <c r="CG51" i="6" s="1"/>
  <c r="CF51" i="6" a="1"/>
  <c r="CF51" i="6" s="1"/>
  <c r="CE51" i="6" a="1"/>
  <c r="CE51" i="6" s="1"/>
  <c r="CG50" i="6" a="1"/>
  <c r="CG50" i="6" s="1"/>
  <c r="CF50" i="6" a="1"/>
  <c r="CF50" i="6" s="1"/>
  <c r="CE50" i="6"/>
  <c r="CE50" i="6" a="1"/>
  <c r="CG49" i="6" a="1"/>
  <c r="CG49" i="6" s="1"/>
  <c r="CF49" i="6" a="1"/>
  <c r="CF49" i="6" s="1"/>
  <c r="CE49" i="6" a="1"/>
  <c r="CE49" i="6" s="1"/>
  <c r="CG48" i="6" a="1"/>
  <c r="CG48" i="6" s="1"/>
  <c r="CF48" i="6" a="1"/>
  <c r="CF48" i="6" s="1"/>
  <c r="CE48" i="6"/>
  <c r="CE48" i="6" a="1"/>
  <c r="CG47" i="6" a="1"/>
  <c r="CG47" i="6" s="1"/>
  <c r="CF47" i="6" a="1"/>
  <c r="CF47" i="6" s="1"/>
  <c r="CE47" i="6" a="1"/>
  <c r="CE47" i="6" s="1"/>
  <c r="CG46" i="6" a="1"/>
  <c r="CG46" i="6" s="1"/>
  <c r="CF46" i="6" a="1"/>
  <c r="CF46" i="6" s="1"/>
  <c r="CE46" i="6"/>
  <c r="CE46" i="6" a="1"/>
  <c r="CG45" i="6" a="1"/>
  <c r="CG45" i="6" s="1"/>
  <c r="CF45" i="6" a="1"/>
  <c r="CF45" i="6" s="1"/>
  <c r="CE45" i="6" a="1"/>
  <c r="CE45" i="6" s="1"/>
  <c r="CG44" i="6" a="1"/>
  <c r="CG44" i="6" s="1"/>
  <c r="CF44" i="6" a="1"/>
  <c r="CF44" i="6" s="1"/>
  <c r="CE44" i="6"/>
  <c r="CE44" i="6" a="1"/>
  <c r="CG43" i="6" a="1"/>
  <c r="CG43" i="6" s="1"/>
  <c r="CF43" i="6" a="1"/>
  <c r="CF43" i="6" s="1"/>
  <c r="CE43" i="6" a="1"/>
  <c r="CE43" i="6" s="1"/>
  <c r="CG42" i="6" a="1"/>
  <c r="CG42" i="6" s="1"/>
  <c r="CF42" i="6" a="1"/>
  <c r="CF42" i="6" s="1"/>
  <c r="CE42" i="6"/>
  <c r="CE42" i="6" a="1"/>
  <c r="CG41" i="6" a="1"/>
  <c r="CG41" i="6" s="1"/>
  <c r="CF41" i="6" a="1"/>
  <c r="CF41" i="6" s="1"/>
  <c r="CE41" i="6" a="1"/>
  <c r="CE41" i="6" s="1"/>
  <c r="CG40" i="6" a="1"/>
  <c r="CG40" i="6" s="1"/>
  <c r="CF40" i="6" a="1"/>
  <c r="CF40" i="6" s="1"/>
  <c r="CE40" i="6"/>
  <c r="CE40" i="6" a="1"/>
  <c r="CG39" i="6" a="1"/>
  <c r="CG39" i="6" s="1"/>
  <c r="CF39" i="6" a="1"/>
  <c r="CF39" i="6" s="1"/>
  <c r="CE39" i="6" a="1"/>
  <c r="CE39" i="6" s="1"/>
  <c r="CG38" i="6" a="1"/>
  <c r="CG38" i="6" s="1"/>
  <c r="CF38" i="6" a="1"/>
  <c r="CF38" i="6" s="1"/>
  <c r="CE38" i="6"/>
  <c r="CE38" i="6" a="1"/>
  <c r="CG37" i="6" a="1"/>
  <c r="CG37" i="6" s="1"/>
  <c r="CF37" i="6" a="1"/>
  <c r="CF37" i="6" s="1"/>
  <c r="CE37" i="6" a="1"/>
  <c r="CE37" i="6" s="1"/>
  <c r="CG36" i="6" a="1"/>
  <c r="CG36" i="6" s="1"/>
  <c r="CF36" i="6" a="1"/>
  <c r="CF36" i="6" s="1"/>
  <c r="CE36" i="6"/>
  <c r="CE36" i="6" a="1"/>
  <c r="CG35" i="6" a="1"/>
  <c r="CG35" i="6" s="1"/>
  <c r="CF35" i="6" a="1"/>
  <c r="CF35" i="6" s="1"/>
  <c r="CE35" i="6" a="1"/>
  <c r="CE35" i="6" s="1"/>
  <c r="CG34" i="6" a="1"/>
  <c r="CG34" i="6" s="1"/>
  <c r="CF34" i="6" a="1"/>
  <c r="CF34" i="6" s="1"/>
  <c r="CE34" i="6"/>
  <c r="CE34" i="6" a="1"/>
  <c r="CG33" i="6" a="1"/>
  <c r="CG33" i="6" s="1"/>
  <c r="CF33" i="6" a="1"/>
  <c r="CF33" i="6" s="1"/>
  <c r="CE33" i="6" a="1"/>
  <c r="CE33" i="6" s="1"/>
  <c r="CG32" i="6" a="1"/>
  <c r="CG32" i="6" s="1"/>
  <c r="CF32" i="6" a="1"/>
  <c r="CF32" i="6" s="1"/>
  <c r="CE32" i="6"/>
  <c r="CE32" i="6" a="1"/>
  <c r="CG31" i="6" a="1"/>
  <c r="CG31" i="6" s="1"/>
  <c r="CF31" i="6" a="1"/>
  <c r="CF31" i="6" s="1"/>
  <c r="CE31" i="6" a="1"/>
  <c r="CE31" i="6" s="1"/>
  <c r="CG30" i="6" a="1"/>
  <c r="CG30" i="6" s="1"/>
  <c r="CF30" i="6" a="1"/>
  <c r="CF30" i="6" s="1"/>
  <c r="CE30" i="6"/>
  <c r="CE30" i="6" a="1"/>
  <c r="CG29" i="6" a="1"/>
  <c r="CG29" i="6" s="1"/>
  <c r="CF29" i="6" a="1"/>
  <c r="CF29" i="6" s="1"/>
  <c r="CE29" i="6" a="1"/>
  <c r="CE29" i="6" s="1"/>
  <c r="CG28" i="6" a="1"/>
  <c r="CG28" i="6" s="1"/>
  <c r="CF28" i="6" a="1"/>
  <c r="CF28" i="6" s="1"/>
  <c r="CE28" i="6"/>
  <c r="CE28" i="6" a="1"/>
  <c r="CG27" i="6" a="1"/>
  <c r="CG27" i="6" s="1"/>
  <c r="CF27" i="6" a="1"/>
  <c r="CF27" i="6" s="1"/>
  <c r="CE27" i="6" a="1"/>
  <c r="CE27" i="6" s="1"/>
  <c r="CG26" i="6" a="1"/>
  <c r="CG26" i="6" s="1"/>
  <c r="CF26" i="6" a="1"/>
  <c r="CF26" i="6" s="1"/>
  <c r="CE26" i="6"/>
  <c r="CE26" i="6" a="1"/>
  <c r="CG25" i="6" a="1"/>
  <c r="CG25" i="6" s="1"/>
  <c r="CF25" i="6" a="1"/>
  <c r="CF25" i="6" s="1"/>
  <c r="CE25" i="6" a="1"/>
  <c r="CE25" i="6" s="1"/>
  <c r="CG24" i="6" a="1"/>
  <c r="CG24" i="6" s="1"/>
  <c r="CF24" i="6" a="1"/>
  <c r="CF24" i="6" s="1"/>
  <c r="CE24" i="6"/>
  <c r="CE24" i="6" a="1"/>
  <c r="CG23" i="6" a="1"/>
  <c r="CG23" i="6" s="1"/>
  <c r="CF23" i="6" a="1"/>
  <c r="CF23" i="6" s="1"/>
  <c r="CE23" i="6" a="1"/>
  <c r="CE23" i="6" s="1"/>
  <c r="CG22" i="6" a="1"/>
  <c r="CG22" i="6" s="1"/>
  <c r="CF22" i="6" a="1"/>
  <c r="CF22" i="6" s="1"/>
  <c r="CE22" i="6"/>
  <c r="CE22" i="6" a="1"/>
  <c r="CG21" i="6" a="1"/>
  <c r="CG21" i="6" s="1"/>
  <c r="CF21" i="6" a="1"/>
  <c r="CF21" i="6" s="1"/>
  <c r="CE21" i="6" a="1"/>
  <c r="CE21" i="6" s="1"/>
  <c r="CG20" i="6" a="1"/>
  <c r="CG20" i="6" s="1"/>
  <c r="CF20" i="6" a="1"/>
  <c r="CF20" i="6" s="1"/>
  <c r="CE20" i="6"/>
  <c r="CE20" i="6" a="1"/>
  <c r="CG19" i="6" a="1"/>
  <c r="CG19" i="6" s="1"/>
  <c r="CF19" i="6" a="1"/>
  <c r="CF19" i="6" s="1"/>
  <c r="CE19" i="6" a="1"/>
  <c r="CE19" i="6" s="1"/>
  <c r="CG18" i="6" a="1"/>
  <c r="CG18" i="6" s="1"/>
  <c r="CF18" i="6" a="1"/>
  <c r="CF18" i="6" s="1"/>
  <c r="CE18" i="6"/>
  <c r="CE18" i="6" a="1"/>
  <c r="CG17" i="6" a="1"/>
  <c r="CG17" i="6" s="1"/>
  <c r="CF17" i="6" a="1"/>
  <c r="CF17" i="6" s="1"/>
  <c r="CE17" i="6" a="1"/>
  <c r="CE17" i="6" s="1"/>
  <c r="CG16" i="6" a="1"/>
  <c r="CG16" i="6" s="1"/>
  <c r="CF16" i="6" a="1"/>
  <c r="CF16" i="6" s="1"/>
  <c r="CE16" i="6"/>
  <c r="CE16" i="6" a="1"/>
  <c r="CG15" i="6" a="1"/>
  <c r="CG15" i="6" s="1"/>
  <c r="CF15" i="6" a="1"/>
  <c r="CF15" i="6" s="1"/>
  <c r="CE15" i="6" a="1"/>
  <c r="CE15" i="6" s="1"/>
  <c r="CG14" i="6" a="1"/>
  <c r="CG14" i="6" s="1"/>
  <c r="CF14" i="6" a="1"/>
  <c r="CF14" i="6" s="1"/>
  <c r="CE14" i="6"/>
  <c r="CE14" i="6" a="1"/>
  <c r="CG13" i="6" a="1"/>
  <c r="CG13" i="6" s="1"/>
  <c r="CF13" i="6" a="1"/>
  <c r="CF13" i="6" s="1"/>
  <c r="CE13" i="6" a="1"/>
  <c r="CE13" i="6" s="1"/>
  <c r="CG12" i="6" a="1"/>
  <c r="CG12" i="6" s="1"/>
  <c r="CF12" i="6" a="1"/>
  <c r="CF12" i="6" s="1"/>
  <c r="CE12" i="6"/>
  <c r="CE12" i="6" a="1"/>
  <c r="CG11" i="6" a="1"/>
  <c r="CG11" i="6" s="1"/>
  <c r="CF11" i="6" a="1"/>
  <c r="CF11" i="6" s="1"/>
  <c r="CE11" i="6" a="1"/>
  <c r="CE11" i="6" s="1"/>
  <c r="CG10" i="6" a="1"/>
  <c r="CG10" i="6" s="1"/>
  <c r="CF10" i="6" a="1"/>
  <c r="CF10" i="6" s="1"/>
  <c r="CE10" i="6"/>
  <c r="CE10" i="6" a="1"/>
  <c r="CG9" i="6" a="1"/>
  <c r="CG9" i="6" s="1"/>
  <c r="CF9" i="6" a="1"/>
  <c r="CF9" i="6" s="1"/>
  <c r="CE9" i="6" a="1"/>
  <c r="CE9" i="6" s="1"/>
  <c r="CG8" i="6" a="1"/>
  <c r="CG8" i="6" s="1"/>
  <c r="CF8" i="6" a="1"/>
  <c r="CF8" i="6" s="1"/>
  <c r="CE8" i="6"/>
  <c r="CE8" i="6" a="1"/>
  <c r="CG7" i="6" a="1"/>
  <c r="CG7" i="6" s="1"/>
  <c r="CF7" i="6" a="1"/>
  <c r="CF7" i="6" s="1"/>
  <c r="CE7" i="6" a="1"/>
  <c r="CE7" i="6" s="1"/>
  <c r="CG6" i="6" a="1"/>
  <c r="CG6" i="6" s="1"/>
  <c r="CF6" i="6" a="1"/>
  <c r="CF6" i="6" s="1"/>
  <c r="CE6" i="6"/>
  <c r="CE6" i="6" a="1"/>
  <c r="CG5" i="6" a="1"/>
  <c r="CG5" i="6" s="1"/>
  <c r="CF5" i="6" a="1"/>
  <c r="CF5" i="6" s="1"/>
  <c r="CE5" i="6" a="1"/>
  <c r="CE5" i="6" s="1"/>
  <c r="CG4" i="6" a="1"/>
  <c r="CG4" i="6" s="1"/>
  <c r="CF4" i="6" a="1"/>
  <c r="CF4" i="6" s="1"/>
  <c r="CE4" i="6"/>
  <c r="CE4" i="6" a="1"/>
  <c r="CG3" i="6" a="1"/>
  <c r="CG3" i="6" s="1"/>
  <c r="CF3" i="6" a="1"/>
  <c r="CF3" i="6" s="1"/>
  <c r="CE3" i="6" a="1"/>
  <c r="CE3" i="6" s="1"/>
  <c r="CG2" i="6" a="1"/>
  <c r="CG2" i="6" s="1"/>
  <c r="CF2" i="6" a="1"/>
  <c r="CF2" i="6"/>
  <c r="CE2" i="6" a="1"/>
  <c r="CE2" i="6" s="1"/>
  <c r="BX67" i="6"/>
  <c r="CB67" i="6" s="1" a="1"/>
  <c r="CB67" i="6" s="1"/>
  <c r="BZ66" i="6" a="1"/>
  <c r="BZ66" i="6" s="1"/>
  <c r="BX66" i="6"/>
  <c r="BX65" i="6"/>
  <c r="CB65" i="6" s="1" a="1"/>
  <c r="CB65" i="6" s="1"/>
  <c r="CB64" i="6" a="1"/>
  <c r="CB64" i="6" s="1"/>
  <c r="CA64" i="6" a="1"/>
  <c r="CA64" i="6" s="1"/>
  <c r="BX64" i="6"/>
  <c r="BZ64" i="6" s="1" a="1"/>
  <c r="BZ64" i="6" s="1"/>
  <c r="BX63" i="6"/>
  <c r="CB63" i="6" s="1" a="1"/>
  <c r="CB63" i="6" s="1"/>
  <c r="CB62" i="6" a="1"/>
  <c r="CB62" i="6" s="1"/>
  <c r="BX62" i="6"/>
  <c r="CA62" i="6" s="1" a="1"/>
  <c r="CA62" i="6" s="1"/>
  <c r="BX61" i="6"/>
  <c r="CB61" i="6" s="1" a="1"/>
  <c r="CB61" i="6" s="1"/>
  <c r="BX60" i="6"/>
  <c r="CB60" i="6" s="1" a="1"/>
  <c r="CB60" i="6" s="1"/>
  <c r="CA59" i="6" a="1"/>
  <c r="CA59" i="6" s="1"/>
  <c r="BZ59" i="6"/>
  <c r="BZ59" i="6" a="1"/>
  <c r="BX59" i="6"/>
  <c r="CB59" i="6" s="1" a="1"/>
  <c r="CB59" i="6" s="1"/>
  <c r="BX58" i="6"/>
  <c r="CB58" i="6" s="1" a="1"/>
  <c r="CB58" i="6" s="1"/>
  <c r="CB57" i="6" a="1"/>
  <c r="CB57" i="6" s="1"/>
  <c r="CA57" i="6"/>
  <c r="CA57" i="6" a="1"/>
  <c r="BZ57" i="6" a="1"/>
  <c r="BZ57" i="6" s="1"/>
  <c r="BX57" i="6"/>
  <c r="BX56" i="6"/>
  <c r="CB56" i="6" s="1" a="1"/>
  <c r="CB56" i="6" s="1"/>
  <c r="BX55" i="6"/>
  <c r="BZ55" i="6" s="1" a="1"/>
  <c r="BZ55" i="6" s="1"/>
  <c r="BX54" i="6"/>
  <c r="CB54" i="6" s="1" a="1"/>
  <c r="CB54" i="6" s="1"/>
  <c r="CB53" i="6" a="1"/>
  <c r="CB53" i="6" s="1"/>
  <c r="CA53" i="6" a="1"/>
  <c r="CA53" i="6" s="1"/>
  <c r="BZ53" i="6" a="1"/>
  <c r="BZ53" i="6" s="1"/>
  <c r="BX53" i="6"/>
  <c r="BX52" i="6"/>
  <c r="CB51" i="6" a="1"/>
  <c r="CB51" i="6" s="1"/>
  <c r="BX51" i="6"/>
  <c r="CA51" i="6" s="1" a="1"/>
  <c r="CA51" i="6" s="1"/>
  <c r="BX50" i="6"/>
  <c r="BX49" i="6"/>
  <c r="CB49" i="6" s="1" a="1"/>
  <c r="CB49" i="6" s="1"/>
  <c r="CB48" i="6" a="1"/>
  <c r="CB48" i="6" s="1"/>
  <c r="CA48" i="6" a="1"/>
  <c r="CA48" i="6" s="1"/>
  <c r="BX48" i="6"/>
  <c r="BZ48" i="6" s="1" a="1"/>
  <c r="BZ48" i="6" s="1"/>
  <c r="BX47" i="6"/>
  <c r="CB47" i="6" s="1" a="1"/>
  <c r="CB47" i="6" s="1"/>
  <c r="CB46" i="6" a="1"/>
  <c r="CB46" i="6" s="1"/>
  <c r="BX46" i="6"/>
  <c r="CA46" i="6" s="1" a="1"/>
  <c r="CA46" i="6" s="1"/>
  <c r="BX45" i="6"/>
  <c r="BZ45" i="6" s="1" a="1"/>
  <c r="BZ45" i="6" s="1"/>
  <c r="CB44" i="6"/>
  <c r="CB44" i="6" a="1"/>
  <c r="CA44" i="6"/>
  <c r="CA44" i="6" a="1"/>
  <c r="BZ44" i="6" a="1"/>
  <c r="BZ44" i="6" s="1"/>
  <c r="BX44" i="6"/>
  <c r="CA43" i="6" a="1"/>
  <c r="CA43" i="6" s="1"/>
  <c r="BZ43" i="6"/>
  <c r="BZ43" i="6" a="1"/>
  <c r="BX43" i="6"/>
  <c r="CB43" i="6" s="1" a="1"/>
  <c r="CB43" i="6" s="1"/>
  <c r="CB42" i="6"/>
  <c r="CB42" i="6" a="1"/>
  <c r="CA42" i="6" a="1"/>
  <c r="CA42" i="6" s="1"/>
  <c r="BX42" i="6"/>
  <c r="BZ42" i="6" s="1" a="1"/>
  <c r="BZ42" i="6" s="1"/>
  <c r="CB41" i="6" a="1"/>
  <c r="CB41" i="6" s="1"/>
  <c r="CA41" i="6"/>
  <c r="CA41" i="6" a="1"/>
  <c r="BZ41" i="6" a="1"/>
  <c r="BZ41" i="6" s="1"/>
  <c r="BX41" i="6"/>
  <c r="CB40" i="6" a="1"/>
  <c r="CB40" i="6" s="1"/>
  <c r="BX40" i="6"/>
  <c r="CA40" i="6" s="1" a="1"/>
  <c r="CA40" i="6" s="1"/>
  <c r="CA39" i="6" a="1"/>
  <c r="CA39" i="6" s="1"/>
  <c r="BZ39" i="6" a="1"/>
  <c r="BZ39" i="6" s="1"/>
  <c r="BX39" i="6"/>
  <c r="BX38" i="6"/>
  <c r="CB38" i="6" s="1" a="1"/>
  <c r="CB38" i="6" s="1"/>
  <c r="CB37" i="6" a="1"/>
  <c r="CB37" i="6" s="1"/>
  <c r="CA37" i="6" a="1"/>
  <c r="CA37" i="6" s="1"/>
  <c r="BZ37" i="6"/>
  <c r="BZ37" i="6" a="1"/>
  <c r="BX37" i="6"/>
  <c r="BX36" i="6"/>
  <c r="CB36" i="6" s="1" a="1"/>
  <c r="CB36" i="6" s="1"/>
  <c r="CB35" i="6" a="1"/>
  <c r="CB35" i="6" s="1"/>
  <c r="BX35" i="6"/>
  <c r="CA35" i="6" s="1" a="1"/>
  <c r="CA35" i="6" s="1"/>
  <c r="BX34" i="6"/>
  <c r="BX33" i="6"/>
  <c r="CB33" i="6" s="1" a="1"/>
  <c r="CB33" i="6" s="1"/>
  <c r="CB32" i="6" a="1"/>
  <c r="CB32" i="6" s="1"/>
  <c r="CA32" i="6" a="1"/>
  <c r="CA32" i="6" s="1"/>
  <c r="BZ32" i="6"/>
  <c r="BZ32" i="6" a="1"/>
  <c r="BX32" i="6"/>
  <c r="BX31" i="6"/>
  <c r="CB31" i="6" s="1" a="1"/>
  <c r="CB31" i="6" s="1"/>
  <c r="CB30" i="6" a="1"/>
  <c r="CB30" i="6" s="1"/>
  <c r="CA30" i="6"/>
  <c r="CA30" i="6" a="1"/>
  <c r="BX30" i="6"/>
  <c r="BZ30" i="6" s="1" a="1"/>
  <c r="BZ30" i="6" s="1"/>
  <c r="BX29" i="6"/>
  <c r="CB29" i="6" s="1" a="1"/>
  <c r="CB29" i="6" s="1"/>
  <c r="CB28" i="6"/>
  <c r="CB28" i="6" a="1"/>
  <c r="CA28" i="6"/>
  <c r="CA28" i="6" a="1"/>
  <c r="BZ28" i="6" a="1"/>
  <c r="BZ28" i="6" s="1"/>
  <c r="BX28" i="6"/>
  <c r="CA27" i="6" a="1"/>
  <c r="CA27" i="6" s="1"/>
  <c r="BX27" i="6"/>
  <c r="CB27" i="6" s="1" a="1"/>
  <c r="CB27" i="6" s="1"/>
  <c r="CB26" i="6"/>
  <c r="CB26" i="6" a="1"/>
  <c r="CA26" i="6" a="1"/>
  <c r="CA26" i="6" s="1"/>
  <c r="BX26" i="6"/>
  <c r="BZ26" i="6" s="1" a="1"/>
  <c r="BZ26" i="6" s="1"/>
  <c r="CB25" i="6" a="1"/>
  <c r="CB25" i="6" s="1"/>
  <c r="CA25" i="6"/>
  <c r="CA25" i="6" a="1"/>
  <c r="BZ25" i="6" a="1"/>
  <c r="BZ25" i="6" s="1"/>
  <c r="BX25" i="6"/>
  <c r="CB24" i="6" a="1"/>
  <c r="CB24" i="6" s="1"/>
  <c r="BX24" i="6"/>
  <c r="CA24" i="6" s="1" a="1"/>
  <c r="CA24" i="6" s="1"/>
  <c r="CA23" i="6" a="1"/>
  <c r="CA23" i="6" s="1"/>
  <c r="BZ23" i="6" a="1"/>
  <c r="BZ23" i="6" s="1"/>
  <c r="BX23" i="6"/>
  <c r="BX22" i="6"/>
  <c r="CB22" i="6" s="1" a="1"/>
  <c r="CB22" i="6" s="1"/>
  <c r="CB21" i="6" a="1"/>
  <c r="CB21" i="6" s="1"/>
  <c r="CA21" i="6" a="1"/>
  <c r="CA21" i="6" s="1"/>
  <c r="BZ21" i="6"/>
  <c r="BZ21" i="6" a="1"/>
  <c r="BX21" i="6"/>
  <c r="BX20" i="6"/>
  <c r="CB19" i="6" a="1"/>
  <c r="CB19" i="6" s="1"/>
  <c r="CA19" i="6" a="1"/>
  <c r="CA19" i="6" s="1"/>
  <c r="BX19" i="6"/>
  <c r="BZ19" i="6" s="1" a="1"/>
  <c r="BZ19" i="6" s="1"/>
  <c r="BX18" i="6"/>
  <c r="CB17" i="6" a="1"/>
  <c r="CB17" i="6" s="1"/>
  <c r="BX17" i="6"/>
  <c r="CA17" i="6" s="1" a="1"/>
  <c r="CA17" i="6" s="1"/>
  <c r="CB16" i="6" a="1"/>
  <c r="CB16" i="6" s="1"/>
  <c r="CA16" i="6" a="1"/>
  <c r="CA16" i="6" s="1"/>
  <c r="BZ16" i="6"/>
  <c r="BZ16" i="6" a="1"/>
  <c r="BX16" i="6"/>
  <c r="BX15" i="6"/>
  <c r="CB15" i="6" s="1" a="1"/>
  <c r="CB15" i="6" s="1"/>
  <c r="CB14" i="6" a="1"/>
  <c r="CB14" i="6" s="1"/>
  <c r="CA14" i="6"/>
  <c r="CA14" i="6" a="1"/>
  <c r="BZ14" i="6"/>
  <c r="BZ14" i="6" a="1"/>
  <c r="BX14" i="6"/>
  <c r="BX13" i="6"/>
  <c r="CB13" i="6" s="1" a="1"/>
  <c r="CB13" i="6" s="1"/>
  <c r="CB12" i="6"/>
  <c r="CB12" i="6" a="1"/>
  <c r="CA12" i="6"/>
  <c r="CA12" i="6" a="1"/>
  <c r="BZ12" i="6" a="1"/>
  <c r="BZ12" i="6" s="1"/>
  <c r="BX12" i="6"/>
  <c r="BX11" i="6"/>
  <c r="CA11" i="6" s="1" a="1"/>
  <c r="CA11" i="6" s="1"/>
  <c r="CB10" i="6"/>
  <c r="CB10" i="6" a="1"/>
  <c r="CA10" i="6" a="1"/>
  <c r="CA10" i="6" s="1"/>
  <c r="BX10" i="6"/>
  <c r="BZ10" i="6" s="1" a="1"/>
  <c r="BZ10" i="6" s="1"/>
  <c r="CB9" i="6" a="1"/>
  <c r="CB9" i="6" s="1"/>
  <c r="CA9" i="6"/>
  <c r="CA9" i="6" a="1"/>
  <c r="BZ9" i="6" a="1"/>
  <c r="BZ9" i="6" s="1"/>
  <c r="BX9" i="6"/>
  <c r="CB8" i="6" a="1"/>
  <c r="CB8" i="6" s="1"/>
  <c r="BX8" i="6"/>
  <c r="CA8" i="6" s="1" a="1"/>
  <c r="CA8" i="6" s="1"/>
  <c r="CA7" i="6" a="1"/>
  <c r="CA7" i="6" s="1"/>
  <c r="BZ7" i="6" a="1"/>
  <c r="BZ7" i="6" s="1"/>
  <c r="BX7" i="6"/>
  <c r="BX6" i="6"/>
  <c r="CB6" i="6" s="1" a="1"/>
  <c r="CB6" i="6" s="1"/>
  <c r="CB5" i="6" a="1"/>
  <c r="CB5" i="6" s="1"/>
  <c r="CA5" i="6" a="1"/>
  <c r="CA5" i="6" s="1"/>
  <c r="BZ5" i="6"/>
  <c r="BZ5" i="6" a="1"/>
  <c r="BX5" i="6"/>
  <c r="BX4" i="6"/>
  <c r="CB4" i="6" s="1" a="1"/>
  <c r="CB4" i="6" s="1"/>
  <c r="CB3" i="6" a="1"/>
  <c r="CB3" i="6" s="1"/>
  <c r="CA3" i="6"/>
  <c r="CA3" i="6" a="1"/>
  <c r="BZ3" i="6"/>
  <c r="BZ3" i="6" a="1"/>
  <c r="BX3" i="6"/>
  <c r="CB2" i="6" a="1"/>
  <c r="CB2" i="6" s="1"/>
  <c r="CA2" i="6" a="1"/>
  <c r="CA2" i="6" s="1"/>
  <c r="BZ2" i="6" a="1"/>
  <c r="BZ2" i="6"/>
  <c r="BX2" i="6"/>
  <c r="BV67" i="6"/>
  <c r="BU67" i="6"/>
  <c r="BT67" i="6"/>
  <c r="BS67" i="6"/>
  <c r="BV66" i="6"/>
  <c r="BU66" i="6"/>
  <c r="BT66" i="6"/>
  <c r="BS66" i="6"/>
  <c r="BV65" i="6"/>
  <c r="BU65" i="6"/>
  <c r="BT65" i="6"/>
  <c r="BS65" i="6"/>
  <c r="BV64" i="6"/>
  <c r="BU64" i="6"/>
  <c r="BT64" i="6"/>
  <c r="BS64" i="6"/>
  <c r="BV63" i="6"/>
  <c r="BU63" i="6"/>
  <c r="BT63" i="6"/>
  <c r="BS63" i="6"/>
  <c r="BV62" i="6"/>
  <c r="BU62" i="6"/>
  <c r="BT62" i="6"/>
  <c r="BS62" i="6"/>
  <c r="BV61" i="6"/>
  <c r="BU61" i="6"/>
  <c r="BT61" i="6"/>
  <c r="BS61" i="6"/>
  <c r="BV60" i="6"/>
  <c r="BU60" i="6"/>
  <c r="BT60" i="6"/>
  <c r="BS60" i="6"/>
  <c r="BV59" i="6"/>
  <c r="BU59" i="6"/>
  <c r="BT59" i="6"/>
  <c r="BS59" i="6"/>
  <c r="BV58" i="6"/>
  <c r="BU58" i="6"/>
  <c r="BT58" i="6"/>
  <c r="BS58" i="6"/>
  <c r="BV57" i="6"/>
  <c r="BU57" i="6"/>
  <c r="BT57" i="6"/>
  <c r="BS57" i="6"/>
  <c r="BV56" i="6"/>
  <c r="BU56" i="6"/>
  <c r="BT56" i="6"/>
  <c r="BS56" i="6"/>
  <c r="BV55" i="6"/>
  <c r="BU55" i="6"/>
  <c r="BT55" i="6"/>
  <c r="BS55" i="6"/>
  <c r="BV54" i="6"/>
  <c r="BU54" i="6"/>
  <c r="BT54" i="6"/>
  <c r="BS54" i="6"/>
  <c r="BV53" i="6"/>
  <c r="BU53" i="6"/>
  <c r="BT53" i="6"/>
  <c r="BS53" i="6"/>
  <c r="BV52" i="6"/>
  <c r="BU52" i="6"/>
  <c r="BT52" i="6"/>
  <c r="BS52" i="6"/>
  <c r="BV51" i="6"/>
  <c r="BU51" i="6"/>
  <c r="BT51" i="6"/>
  <c r="BS51" i="6"/>
  <c r="BV50" i="6"/>
  <c r="BU50" i="6"/>
  <c r="BT50" i="6"/>
  <c r="BS50" i="6"/>
  <c r="BV49" i="6"/>
  <c r="BU49" i="6"/>
  <c r="BT49" i="6"/>
  <c r="BS49" i="6"/>
  <c r="BV48" i="6"/>
  <c r="BU48" i="6"/>
  <c r="BT48" i="6"/>
  <c r="BS48" i="6"/>
  <c r="BV47" i="6"/>
  <c r="BU47" i="6"/>
  <c r="BT47" i="6"/>
  <c r="BS47" i="6"/>
  <c r="BV46" i="6"/>
  <c r="BU46" i="6"/>
  <c r="BT46" i="6"/>
  <c r="BS46" i="6"/>
  <c r="BV45" i="6"/>
  <c r="BU45" i="6"/>
  <c r="BT45" i="6"/>
  <c r="BS45" i="6"/>
  <c r="BV44" i="6"/>
  <c r="BU44" i="6"/>
  <c r="BT44" i="6"/>
  <c r="BS44" i="6"/>
  <c r="BV43" i="6"/>
  <c r="BU43" i="6"/>
  <c r="BT43" i="6"/>
  <c r="BS43" i="6"/>
  <c r="BV42" i="6"/>
  <c r="BU42" i="6"/>
  <c r="BT42" i="6"/>
  <c r="BS42" i="6"/>
  <c r="BV41" i="6"/>
  <c r="BU41" i="6"/>
  <c r="BT41" i="6"/>
  <c r="BS41" i="6"/>
  <c r="BV40" i="6"/>
  <c r="BU40" i="6"/>
  <c r="BT40" i="6"/>
  <c r="BS40" i="6"/>
  <c r="BV39" i="6"/>
  <c r="BU39" i="6"/>
  <c r="BT39" i="6"/>
  <c r="BS39" i="6"/>
  <c r="BV38" i="6"/>
  <c r="BU38" i="6"/>
  <c r="BT38" i="6"/>
  <c r="BS38" i="6"/>
  <c r="BV37" i="6"/>
  <c r="BU37" i="6"/>
  <c r="BT37" i="6"/>
  <c r="BS37" i="6"/>
  <c r="BV36" i="6"/>
  <c r="BU36" i="6"/>
  <c r="BT36" i="6"/>
  <c r="BS36" i="6"/>
  <c r="BV35" i="6"/>
  <c r="BU35" i="6"/>
  <c r="BT35" i="6"/>
  <c r="BS35" i="6"/>
  <c r="BV34" i="6"/>
  <c r="BU34" i="6"/>
  <c r="BT34" i="6"/>
  <c r="BS34" i="6"/>
  <c r="BV33" i="6"/>
  <c r="BU33" i="6"/>
  <c r="BT33" i="6"/>
  <c r="BS33" i="6"/>
  <c r="BV32" i="6"/>
  <c r="BU32" i="6"/>
  <c r="BT32" i="6"/>
  <c r="BS32" i="6"/>
  <c r="BV31" i="6"/>
  <c r="BU31" i="6"/>
  <c r="BT31" i="6"/>
  <c r="BS31" i="6"/>
  <c r="BV30" i="6"/>
  <c r="BU30" i="6"/>
  <c r="BT30" i="6"/>
  <c r="BS30" i="6"/>
  <c r="BV29" i="6"/>
  <c r="BU29" i="6"/>
  <c r="BT29" i="6"/>
  <c r="BS29" i="6"/>
  <c r="BV28" i="6"/>
  <c r="BU28" i="6"/>
  <c r="BT28" i="6"/>
  <c r="BS28" i="6"/>
  <c r="BV27" i="6"/>
  <c r="BU27" i="6"/>
  <c r="BT27" i="6"/>
  <c r="BS27" i="6"/>
  <c r="BV26" i="6"/>
  <c r="BU26" i="6"/>
  <c r="BT26" i="6"/>
  <c r="BS26" i="6"/>
  <c r="BV25" i="6"/>
  <c r="BU25" i="6"/>
  <c r="BT25" i="6"/>
  <c r="BS25" i="6"/>
  <c r="BV24" i="6"/>
  <c r="BU24" i="6"/>
  <c r="BT24" i="6"/>
  <c r="BS24" i="6"/>
  <c r="BV23" i="6"/>
  <c r="BU23" i="6"/>
  <c r="BT23" i="6"/>
  <c r="BS23" i="6"/>
  <c r="BV22" i="6"/>
  <c r="BU22" i="6"/>
  <c r="BT22" i="6"/>
  <c r="BS22" i="6"/>
  <c r="BV21" i="6"/>
  <c r="BU21" i="6"/>
  <c r="BT21" i="6"/>
  <c r="BS21" i="6"/>
  <c r="BV20" i="6"/>
  <c r="BU20" i="6"/>
  <c r="BT20" i="6"/>
  <c r="BS20" i="6"/>
  <c r="BV19" i="6"/>
  <c r="BU19" i="6"/>
  <c r="BT19" i="6"/>
  <c r="BS19" i="6"/>
  <c r="BV18" i="6"/>
  <c r="BU18" i="6"/>
  <c r="BT18" i="6"/>
  <c r="BS18" i="6"/>
  <c r="BV17" i="6"/>
  <c r="BU17" i="6"/>
  <c r="BT17" i="6"/>
  <c r="BS17" i="6"/>
  <c r="BV16" i="6"/>
  <c r="BU16" i="6"/>
  <c r="BT16" i="6"/>
  <c r="BS16" i="6"/>
  <c r="BV15" i="6"/>
  <c r="BU15" i="6"/>
  <c r="BT15" i="6"/>
  <c r="BS15" i="6"/>
  <c r="BV14" i="6"/>
  <c r="BU14" i="6"/>
  <c r="BT14" i="6"/>
  <c r="BS14" i="6"/>
  <c r="BV13" i="6"/>
  <c r="BU13" i="6"/>
  <c r="BT13" i="6"/>
  <c r="BS13" i="6"/>
  <c r="BV12" i="6"/>
  <c r="BU12" i="6"/>
  <c r="BT12" i="6"/>
  <c r="BS12" i="6"/>
  <c r="BV11" i="6"/>
  <c r="BU11" i="6"/>
  <c r="BT11" i="6"/>
  <c r="BS11" i="6"/>
  <c r="BV10" i="6"/>
  <c r="BU10" i="6"/>
  <c r="BT10" i="6"/>
  <c r="BS10" i="6"/>
  <c r="BV9" i="6"/>
  <c r="BU9" i="6"/>
  <c r="BT9" i="6"/>
  <c r="BS9" i="6"/>
  <c r="BV8" i="6"/>
  <c r="BU8" i="6"/>
  <c r="BT8" i="6"/>
  <c r="BS8" i="6"/>
  <c r="BV7" i="6"/>
  <c r="BU7" i="6"/>
  <c r="BT7" i="6"/>
  <c r="BS7" i="6"/>
  <c r="BV6" i="6"/>
  <c r="BU6" i="6"/>
  <c r="BT6" i="6"/>
  <c r="BS6" i="6"/>
  <c r="BV5" i="6"/>
  <c r="BU5" i="6"/>
  <c r="BT5" i="6"/>
  <c r="BS5" i="6"/>
  <c r="BV4" i="6"/>
  <c r="BU4" i="6"/>
  <c r="BT4" i="6"/>
  <c r="BS4" i="6"/>
  <c r="BV3" i="6"/>
  <c r="BU3" i="6"/>
  <c r="BT3" i="6"/>
  <c r="BS3" i="6"/>
  <c r="BV2" i="6"/>
  <c r="BU2" i="6"/>
  <c r="BT2" i="6"/>
  <c r="BS2" i="6"/>
  <c r="BQ12" i="6"/>
  <c r="BP12" i="6"/>
  <c r="BO12" i="6"/>
  <c r="BN12" i="6"/>
  <c r="BM12" i="6"/>
  <c r="BL12" i="6"/>
  <c r="BK12" i="6"/>
  <c r="BQ11" i="6"/>
  <c r="BP11" i="6"/>
  <c r="BO11" i="6"/>
  <c r="BN11" i="6"/>
  <c r="BM11" i="6"/>
  <c r="BL11" i="6"/>
  <c r="BK11" i="6"/>
  <c r="BQ10" i="6"/>
  <c r="BP10" i="6"/>
  <c r="BO10" i="6"/>
  <c r="BN10" i="6"/>
  <c r="BM10" i="6"/>
  <c r="BL10" i="6"/>
  <c r="BK10" i="6"/>
  <c r="BQ9" i="6"/>
  <c r="BP9" i="6"/>
  <c r="BO9" i="6"/>
  <c r="BN9" i="6"/>
  <c r="BM9" i="6"/>
  <c r="BL9" i="6"/>
  <c r="BK9" i="6"/>
  <c r="BQ8" i="6"/>
  <c r="BP8" i="6"/>
  <c r="BO8" i="6"/>
  <c r="BN8" i="6"/>
  <c r="BM8" i="6"/>
  <c r="BL8" i="6"/>
  <c r="BK8" i="6"/>
  <c r="BQ7" i="6"/>
  <c r="BP7" i="6"/>
  <c r="BO7" i="6"/>
  <c r="BN7" i="6"/>
  <c r="BM7" i="6"/>
  <c r="BL7" i="6"/>
  <c r="BK7" i="6"/>
  <c r="BQ6" i="6"/>
  <c r="BP6" i="6"/>
  <c r="BO6" i="6"/>
  <c r="BN6" i="6"/>
  <c r="BM6" i="6"/>
  <c r="BL6" i="6"/>
  <c r="BK6" i="6"/>
  <c r="BQ5" i="6"/>
  <c r="BP5" i="6"/>
  <c r="BO5" i="6"/>
  <c r="BN5" i="6"/>
  <c r="BM5" i="6"/>
  <c r="BL5" i="6"/>
  <c r="BK5" i="6"/>
  <c r="BQ4" i="6"/>
  <c r="BP4" i="6"/>
  <c r="BO4" i="6"/>
  <c r="BN4" i="6"/>
  <c r="BM4" i="6"/>
  <c r="BL4" i="6"/>
  <c r="BK4" i="6"/>
  <c r="BQ3" i="6"/>
  <c r="BP3" i="6"/>
  <c r="BO3" i="6"/>
  <c r="BN3" i="6"/>
  <c r="BM3" i="6"/>
  <c r="BL3" i="6"/>
  <c r="BK3" i="6"/>
  <c r="BQ2" i="6"/>
  <c r="BP2" i="6"/>
  <c r="BO2" i="6"/>
  <c r="BN2" i="6"/>
  <c r="BM2" i="6"/>
  <c r="BL2" i="6"/>
  <c r="BK2" i="6"/>
  <c r="BI12" i="6"/>
  <c r="BG12" i="6"/>
  <c r="BF12" i="6"/>
  <c r="BI11" i="6"/>
  <c r="BG11" i="6"/>
  <c r="BF11" i="6"/>
  <c r="BE11" i="6"/>
  <c r="BD11" i="6"/>
  <c r="BI10" i="6"/>
  <c r="BF10" i="6"/>
  <c r="BE10" i="6"/>
  <c r="BD10" i="6"/>
  <c r="BI9" i="6"/>
  <c r="BG9" i="6"/>
  <c r="BI8" i="6"/>
  <c r="BF8" i="6"/>
  <c r="BC8" i="6"/>
  <c r="BI7" i="6"/>
  <c r="BI6" i="6"/>
  <c r="BI5" i="6"/>
  <c r="BG5" i="6"/>
  <c r="BI4" i="6"/>
  <c r="BG4" i="6"/>
  <c r="BF4" i="6"/>
  <c r="BE4" i="6"/>
  <c r="BC4" i="6"/>
  <c r="BI3" i="6"/>
  <c r="BG3" i="6"/>
  <c r="BF3" i="6"/>
  <c r="BE3" i="6"/>
  <c r="BI2" i="6"/>
  <c r="BF2" i="6"/>
  <c r="BE2" i="6"/>
  <c r="BD2" i="6"/>
  <c r="BC2" i="6"/>
  <c r="AY12" i="6"/>
  <c r="AX12" i="6"/>
  <c r="AW12" i="6"/>
  <c r="AV12" i="6"/>
  <c r="AU12" i="6"/>
  <c r="AT12" i="6"/>
  <c r="AS12" i="6"/>
  <c r="BH12" i="6" s="1"/>
  <c r="AR12" i="6"/>
  <c r="AQ12" i="6"/>
  <c r="AP12" i="6"/>
  <c r="BE12" i="6" s="1"/>
  <c r="AO12" i="6"/>
  <c r="BD12" i="6" s="1"/>
  <c r="AN12" i="6"/>
  <c r="BC12" i="6" s="1"/>
  <c r="AY11" i="6"/>
  <c r="AX11" i="6"/>
  <c r="AW11" i="6"/>
  <c r="AV11" i="6"/>
  <c r="AU11" i="6"/>
  <c r="AT11" i="6"/>
  <c r="AS11" i="6"/>
  <c r="BH11" i="6" s="1"/>
  <c r="AR11" i="6"/>
  <c r="AQ11" i="6"/>
  <c r="AP11" i="6"/>
  <c r="AO11" i="6"/>
  <c r="AN11" i="6"/>
  <c r="BC11" i="6" s="1"/>
  <c r="AY10" i="6"/>
  <c r="AX10" i="6"/>
  <c r="AW10" i="6"/>
  <c r="AV10" i="6"/>
  <c r="AU10" i="6"/>
  <c r="AT10" i="6"/>
  <c r="AS10" i="6"/>
  <c r="BH10" i="6" s="1"/>
  <c r="AR10" i="6"/>
  <c r="BG10" i="6" s="1"/>
  <c r="AQ10" i="6"/>
  <c r="AP10" i="6"/>
  <c r="AO10" i="6"/>
  <c r="AN10" i="6"/>
  <c r="BC10" i="6" s="1"/>
  <c r="AY9" i="6"/>
  <c r="AX9" i="6"/>
  <c r="AW9" i="6"/>
  <c r="AV9" i="6"/>
  <c r="AU9" i="6"/>
  <c r="AT9" i="6"/>
  <c r="AS9" i="6"/>
  <c r="BH9" i="6" s="1"/>
  <c r="AR9" i="6"/>
  <c r="AQ9" i="6"/>
  <c r="BF9" i="6" s="1"/>
  <c r="AP9" i="6"/>
  <c r="BE9" i="6" s="1"/>
  <c r="AO9" i="6"/>
  <c r="BD9" i="6" s="1"/>
  <c r="AN9" i="6"/>
  <c r="BC9" i="6" s="1"/>
  <c r="AY8" i="6"/>
  <c r="AX8" i="6"/>
  <c r="AW8" i="6"/>
  <c r="AV8" i="6"/>
  <c r="AU8" i="6"/>
  <c r="AT8" i="6"/>
  <c r="AS8" i="6"/>
  <c r="BH8" i="6" s="1"/>
  <c r="AR8" i="6"/>
  <c r="BG8" i="6" s="1"/>
  <c r="AQ8" i="6"/>
  <c r="AP8" i="6"/>
  <c r="BE8" i="6" s="1"/>
  <c r="AO8" i="6"/>
  <c r="BD8" i="6" s="1"/>
  <c r="AN8" i="6"/>
  <c r="AY7" i="6"/>
  <c r="AX7" i="6"/>
  <c r="AW7" i="6"/>
  <c r="AV7" i="6"/>
  <c r="AU7" i="6"/>
  <c r="AT7" i="6"/>
  <c r="AS7" i="6"/>
  <c r="BH7" i="6" s="1"/>
  <c r="AR7" i="6"/>
  <c r="BG7" i="6" s="1"/>
  <c r="AQ7" i="6"/>
  <c r="BF7" i="6" s="1"/>
  <c r="AP7" i="6"/>
  <c r="BE7" i="6" s="1"/>
  <c r="AO7" i="6"/>
  <c r="BD7" i="6" s="1"/>
  <c r="AN7" i="6"/>
  <c r="BC7" i="6" s="1"/>
  <c r="AY6" i="6"/>
  <c r="AX6" i="6"/>
  <c r="AW6" i="6"/>
  <c r="AV6" i="6"/>
  <c r="AU6" i="6"/>
  <c r="AT6" i="6"/>
  <c r="AS6" i="6"/>
  <c r="BH6" i="6" s="1"/>
  <c r="AR6" i="6"/>
  <c r="BG6" i="6" s="1"/>
  <c r="AQ6" i="6"/>
  <c r="BF6" i="6" s="1"/>
  <c r="AP6" i="6"/>
  <c r="BE6" i="6" s="1"/>
  <c r="AO6" i="6"/>
  <c r="BD6" i="6" s="1"/>
  <c r="AN6" i="6"/>
  <c r="BC6" i="6" s="1"/>
  <c r="AY5" i="6"/>
  <c r="AX5" i="6"/>
  <c r="AW5" i="6"/>
  <c r="AV5" i="6"/>
  <c r="AU5" i="6"/>
  <c r="AT5" i="6"/>
  <c r="AS5" i="6"/>
  <c r="BH5" i="6" s="1"/>
  <c r="AR5" i="6"/>
  <c r="AQ5" i="6"/>
  <c r="BF5" i="6" s="1"/>
  <c r="AP5" i="6"/>
  <c r="BE5" i="6" s="1"/>
  <c r="AO5" i="6"/>
  <c r="BD5" i="6" s="1"/>
  <c r="AN5" i="6"/>
  <c r="BC5" i="6" s="1"/>
  <c r="AY4" i="6"/>
  <c r="AX4" i="6"/>
  <c r="AW4" i="6"/>
  <c r="AV4" i="6"/>
  <c r="AU4" i="6"/>
  <c r="AT4" i="6"/>
  <c r="AS4" i="6"/>
  <c r="BH4" i="6" s="1"/>
  <c r="AR4" i="6"/>
  <c r="AQ4" i="6"/>
  <c r="AP4" i="6"/>
  <c r="AO4" i="6"/>
  <c r="BD4" i="6" s="1"/>
  <c r="AN4" i="6"/>
  <c r="AY3" i="6"/>
  <c r="AX3" i="6"/>
  <c r="AW3" i="6"/>
  <c r="AV3" i="6"/>
  <c r="AU3" i="6"/>
  <c r="AT3" i="6"/>
  <c r="AS3" i="6"/>
  <c r="BH3" i="6" s="1"/>
  <c r="AR3" i="6"/>
  <c r="AQ3" i="6"/>
  <c r="AP3" i="6"/>
  <c r="AO3" i="6"/>
  <c r="BD3" i="6" s="1"/>
  <c r="AN3" i="6"/>
  <c r="BC3" i="6" s="1"/>
  <c r="AY2" i="6"/>
  <c r="AX2" i="6"/>
  <c r="AW2" i="6"/>
  <c r="AV2" i="6"/>
  <c r="AU2" i="6"/>
  <c r="AT2" i="6"/>
  <c r="AS2" i="6"/>
  <c r="BH2" i="6" s="1"/>
  <c r="AR2" i="6"/>
  <c r="BG2" i="6" s="1"/>
  <c r="AQ2" i="6"/>
  <c r="AP2" i="6"/>
  <c r="AO2" i="6"/>
  <c r="AN2" i="6"/>
  <c r="BA2" i="6"/>
  <c r="AG5" i="6"/>
  <c r="AL3" i="6"/>
  <c r="AK2" i="6"/>
  <c r="AJ2" i="6"/>
  <c r="AI2" i="6"/>
  <c r="AH2" i="6"/>
  <c r="AG2" i="6"/>
  <c r="AD6" i="6"/>
  <c r="AC6" i="6"/>
  <c r="AD5" i="6"/>
  <c r="AC5" i="6"/>
  <c r="AD4" i="6"/>
  <c r="AC4" i="6"/>
  <c r="AD3" i="6"/>
  <c r="AC3" i="6"/>
  <c r="AD2" i="6"/>
  <c r="AC2" i="6"/>
  <c r="AA6" i="6"/>
  <c r="Z6" i="6"/>
  <c r="Y6" i="6"/>
  <c r="AA5" i="6"/>
  <c r="Z5" i="6"/>
  <c r="Y5" i="6"/>
  <c r="AA4" i="6"/>
  <c r="Z4" i="6"/>
  <c r="Y4" i="6"/>
  <c r="AA3" i="6"/>
  <c r="Z3" i="6"/>
  <c r="Y3" i="6"/>
  <c r="AA2" i="6"/>
  <c r="Z2" i="6"/>
  <c r="Y2" i="6"/>
  <c r="W7" i="6"/>
  <c r="V7" i="6"/>
  <c r="U7" i="6"/>
  <c r="W6" i="6"/>
  <c r="V6" i="6"/>
  <c r="U6" i="6"/>
  <c r="W5" i="6"/>
  <c r="V5" i="6"/>
  <c r="U5" i="6"/>
  <c r="W4" i="6"/>
  <c r="V4" i="6"/>
  <c r="U4" i="6"/>
  <c r="W3" i="6"/>
  <c r="V3" i="6"/>
  <c r="U3" i="6"/>
  <c r="R7" i="6"/>
  <c r="Q7" i="6"/>
  <c r="P7" i="6"/>
  <c r="R6" i="6"/>
  <c r="Q6" i="6"/>
  <c r="P6" i="6"/>
  <c r="R5" i="6"/>
  <c r="Q5" i="6"/>
  <c r="P5" i="6"/>
  <c r="R4" i="6"/>
  <c r="Q4" i="6"/>
  <c r="P4" i="6"/>
  <c r="R3" i="6"/>
  <c r="Q3" i="6"/>
  <c r="P3" i="6"/>
  <c r="M6" i="6"/>
  <c r="L6" i="6"/>
  <c r="K6" i="6"/>
  <c r="M5" i="6"/>
  <c r="L5" i="6"/>
  <c r="K5" i="6"/>
  <c r="M4" i="6"/>
  <c r="L4" i="6"/>
  <c r="K4" i="6"/>
  <c r="M3" i="6"/>
  <c r="L3" i="6"/>
  <c r="K3" i="6"/>
  <c r="I7" i="6"/>
  <c r="H7" i="6"/>
  <c r="G7" i="6"/>
  <c r="I6" i="6"/>
  <c r="H6" i="6"/>
  <c r="G6" i="6"/>
  <c r="I5" i="6"/>
  <c r="H5" i="6"/>
  <c r="G5" i="6"/>
  <c r="I4" i="6"/>
  <c r="H4" i="6"/>
  <c r="G4" i="6"/>
  <c r="I3" i="6"/>
  <c r="H3" i="6"/>
  <c r="G3" i="6"/>
  <c r="W2" i="6"/>
  <c r="V2" i="6"/>
  <c r="U2" i="6"/>
  <c r="R2" i="6"/>
  <c r="Q2" i="6"/>
  <c r="P2" i="6"/>
  <c r="M2" i="6"/>
  <c r="L2" i="6"/>
  <c r="K2" i="6"/>
  <c r="I2" i="6"/>
  <c r="H2" i="6"/>
  <c r="G2" i="6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B11" i="6"/>
  <c r="A11" i="6"/>
  <c r="E10" i="6"/>
  <c r="D10" i="6"/>
  <c r="C10" i="6"/>
  <c r="B10" i="6"/>
  <c r="A10" i="6"/>
  <c r="E9" i="6"/>
  <c r="D9" i="6"/>
  <c r="C9" i="6"/>
  <c r="B9" i="6"/>
  <c r="A9" i="6"/>
  <c r="E8" i="6"/>
  <c r="D8" i="6"/>
  <c r="C8" i="6"/>
  <c r="B8" i="6"/>
  <c r="A8" i="6"/>
  <c r="E7" i="6"/>
  <c r="D7" i="6"/>
  <c r="C7" i="6"/>
  <c r="B7" i="6"/>
  <c r="A7" i="6"/>
  <c r="E6" i="6"/>
  <c r="D6" i="6"/>
  <c r="C6" i="6"/>
  <c r="B6" i="6"/>
  <c r="A6" i="6"/>
  <c r="E5" i="6"/>
  <c r="D5" i="6"/>
  <c r="C5" i="6"/>
  <c r="B5" i="6"/>
  <c r="A5" i="6"/>
  <c r="E4" i="6"/>
  <c r="D4" i="6"/>
  <c r="C4" i="6"/>
  <c r="B4" i="6"/>
  <c r="A4" i="6"/>
  <c r="E3" i="6"/>
  <c r="D3" i="6"/>
  <c r="C3" i="6"/>
  <c r="B3" i="6"/>
  <c r="A3" i="6"/>
  <c r="E2" i="6"/>
  <c r="D2" i="6"/>
  <c r="C2" i="6"/>
  <c r="B2" i="6"/>
  <c r="A2" i="6"/>
  <c r="ER3" i="6" l="1" a="1"/>
  <c r="ER3" i="6" s="1"/>
  <c r="EQ5" i="6" a="1"/>
  <c r="EQ5" i="6" s="1"/>
  <c r="EQ3" i="6" a="1"/>
  <c r="EQ3" i="6" s="1"/>
  <c r="EQ7" i="6" a="1"/>
  <c r="EQ7" i="6" s="1"/>
  <c r="ET3" i="6" a="1"/>
  <c r="ET3" i="6" s="1"/>
  <c r="ES5" i="6" a="1"/>
  <c r="ES5" i="6" s="1"/>
  <c r="ER7" i="6" a="1"/>
  <c r="ER7" i="6" s="1"/>
  <c r="ET5" i="6" a="1"/>
  <c r="ET5" i="6" s="1"/>
  <c r="ES7" i="6" a="1"/>
  <c r="ES7" i="6" s="1"/>
  <c r="DP52" i="6" a="1"/>
  <c r="DP52" i="6" s="1"/>
  <c r="DO52" i="6" a="1"/>
  <c r="DO52" i="6" s="1"/>
  <c r="DV52" i="6" a="1"/>
  <c r="DV52" i="6" s="1"/>
  <c r="DU52" i="6" a="1"/>
  <c r="DU52" i="6" s="1"/>
  <c r="DR52" i="6" a="1"/>
  <c r="DR52" i="6" s="1"/>
  <c r="DQ52" i="6" a="1"/>
  <c r="DQ52" i="6" s="1"/>
  <c r="DV4" i="6" a="1"/>
  <c r="DV4" i="6" s="1"/>
  <c r="DU4" i="6" a="1"/>
  <c r="DU4" i="6" s="1"/>
  <c r="DP4" i="6" a="1"/>
  <c r="DP4" i="6" s="1"/>
  <c r="DR4" i="6" a="1"/>
  <c r="DR4" i="6" s="1"/>
  <c r="DQ4" i="6" a="1"/>
  <c r="DQ4" i="6" s="1"/>
  <c r="DV36" i="6" a="1"/>
  <c r="DV36" i="6" s="1"/>
  <c r="DU36" i="6" a="1"/>
  <c r="DU36" i="6" s="1"/>
  <c r="DR36" i="6" a="1"/>
  <c r="DR36" i="6" s="1"/>
  <c r="DP36" i="6" a="1"/>
  <c r="DP36" i="6" s="1"/>
  <c r="DQ36" i="6" a="1"/>
  <c r="DQ36" i="6" s="1"/>
  <c r="DW52" i="6" a="1"/>
  <c r="DW52" i="6" s="1"/>
  <c r="DW4" i="6" a="1"/>
  <c r="DW4" i="6" s="1"/>
  <c r="DV5" i="6" a="1"/>
  <c r="DV5" i="6" s="1"/>
  <c r="DU5" i="6" a="1"/>
  <c r="DU5" i="6" s="1"/>
  <c r="DR5" i="6" a="1"/>
  <c r="DR5" i="6" s="1"/>
  <c r="DQ5" i="6" a="1"/>
  <c r="DQ5" i="6" s="1"/>
  <c r="DP5" i="6" a="1"/>
  <c r="DP5" i="6" s="1"/>
  <c r="DW36" i="6" a="1"/>
  <c r="DW36" i="6" s="1"/>
  <c r="DW5" i="6" a="1"/>
  <c r="DW5" i="6" s="1"/>
  <c r="DP20" i="6" a="1"/>
  <c r="DP20" i="6" s="1"/>
  <c r="DV20" i="6" a="1"/>
  <c r="DV20" i="6" s="1"/>
  <c r="DU20" i="6" a="1"/>
  <c r="DU20" i="6" s="1"/>
  <c r="DR20" i="6" a="1"/>
  <c r="DR20" i="6" s="1"/>
  <c r="DQ20" i="6" a="1"/>
  <c r="DQ20" i="6" s="1"/>
  <c r="DW35" i="6" a="1"/>
  <c r="DW35" i="6" s="1"/>
  <c r="DP35" i="6" a="1"/>
  <c r="DP35" i="6" s="1"/>
  <c r="DV35" i="6" a="1"/>
  <c r="DV35" i="6" s="1"/>
  <c r="DU35" i="6" a="1"/>
  <c r="DU35" i="6" s="1"/>
  <c r="DR35" i="6" a="1"/>
  <c r="DR35" i="6" s="1"/>
  <c r="DQ35" i="6" a="1"/>
  <c r="DQ35" i="6" s="1"/>
  <c r="DW19" i="6" a="1"/>
  <c r="DW19" i="6" s="1"/>
  <c r="DP19" i="6" a="1"/>
  <c r="DP19" i="6" s="1"/>
  <c r="DV19" i="6" a="1"/>
  <c r="DV19" i="6" s="1"/>
  <c r="DU19" i="6" a="1"/>
  <c r="DU19" i="6" s="1"/>
  <c r="DR19" i="6" a="1"/>
  <c r="DR19" i="6" s="1"/>
  <c r="DQ19" i="6" a="1"/>
  <c r="DQ19" i="6" s="1"/>
  <c r="DW3" i="6" a="1"/>
  <c r="DW3" i="6" s="1"/>
  <c r="DV3" i="6" a="1"/>
  <c r="DV3" i="6" s="1"/>
  <c r="DU3" i="6" a="1"/>
  <c r="DU3" i="6" s="1"/>
  <c r="DP3" i="6" a="1"/>
  <c r="DP3" i="6" s="1"/>
  <c r="DR3" i="6" a="1"/>
  <c r="DR3" i="6" s="1"/>
  <c r="DQ3" i="6" a="1"/>
  <c r="DQ3" i="6" s="1"/>
  <c r="DW51" i="6" a="1"/>
  <c r="DW51" i="6" s="1"/>
  <c r="DV51" i="6" a="1"/>
  <c r="DV51" i="6" s="1"/>
  <c r="DU51" i="6" a="1"/>
  <c r="DU51" i="6" s="1"/>
  <c r="DP51" i="6" a="1"/>
  <c r="DP51" i="6" s="1"/>
  <c r="DR51" i="6" a="1"/>
  <c r="DR51" i="6" s="1"/>
  <c r="DQ51" i="6" a="1"/>
  <c r="DQ51" i="6" s="1"/>
  <c r="DO22" i="6" a="1"/>
  <c r="DO22" i="6" s="1"/>
  <c r="DV11" i="6" a="1"/>
  <c r="DV11" i="6" s="1"/>
  <c r="DU13" i="6" a="1"/>
  <c r="DU13" i="6" s="1"/>
  <c r="DR17" i="6" a="1"/>
  <c r="DR17" i="6" s="1"/>
  <c r="DP21" i="6" a="1"/>
  <c r="DP21" i="6" s="1"/>
  <c r="DV27" i="6" a="1"/>
  <c r="DV27" i="6" s="1"/>
  <c r="DU29" i="6" a="1"/>
  <c r="DU29" i="6" s="1"/>
  <c r="DR33" i="6" a="1"/>
  <c r="DR33" i="6" s="1"/>
  <c r="DP37" i="6" a="1"/>
  <c r="DP37" i="6" s="1"/>
  <c r="DU45" i="6" a="1"/>
  <c r="DU45" i="6" s="1"/>
  <c r="DR49" i="6" a="1"/>
  <c r="DR49" i="6" s="1"/>
  <c r="DP53" i="6" a="1"/>
  <c r="DP53" i="6" s="1"/>
  <c r="DU61" i="6" a="1"/>
  <c r="DU61" i="6" s="1"/>
  <c r="DR65" i="6" a="1"/>
  <c r="DR65" i="6" s="1"/>
  <c r="DQ67" i="6" a="1"/>
  <c r="DQ67" i="6" s="1"/>
  <c r="DP6" i="6" a="1"/>
  <c r="DP6" i="6" s="1"/>
  <c r="DW10" i="6" a="1"/>
  <c r="DW10" i="6" s="1"/>
  <c r="DV12" i="6" a="1"/>
  <c r="DV12" i="6" s="1"/>
  <c r="DU14" i="6" a="1"/>
  <c r="DU14" i="6" s="1"/>
  <c r="DP22" i="6" a="1"/>
  <c r="DP22" i="6" s="1"/>
  <c r="DW26" i="6" a="1"/>
  <c r="DW26" i="6" s="1"/>
  <c r="DV28" i="6" a="1"/>
  <c r="DV28" i="6" s="1"/>
  <c r="DU30" i="6" a="1"/>
  <c r="DU30" i="6" s="1"/>
  <c r="DP38" i="6" a="1"/>
  <c r="DP38" i="6" s="1"/>
  <c r="DO40" i="6" a="1"/>
  <c r="DO40" i="6" s="1"/>
  <c r="DW42" i="6" a="1"/>
  <c r="DW42" i="6" s="1"/>
  <c r="DV44" i="6" a="1"/>
  <c r="DV44" i="6" s="1"/>
  <c r="DU46" i="6" a="1"/>
  <c r="DU46" i="6" s="1"/>
  <c r="DR50" i="6" a="1"/>
  <c r="DR50" i="6" s="1"/>
  <c r="DP54" i="6" a="1"/>
  <c r="DP54" i="6" s="1"/>
  <c r="DW58" i="6" a="1"/>
  <c r="DW58" i="6" s="1"/>
  <c r="DV60" i="6" a="1"/>
  <c r="DV60" i="6" s="1"/>
  <c r="DU62" i="6" a="1"/>
  <c r="DU62" i="6" s="1"/>
  <c r="DR66" i="6" a="1"/>
  <c r="DR66" i="6" s="1"/>
  <c r="DP7" i="6" a="1"/>
  <c r="DP7" i="6" s="1"/>
  <c r="DW11" i="6" a="1"/>
  <c r="DW11" i="6" s="1"/>
  <c r="DQ21" i="6" a="1"/>
  <c r="DQ21" i="6" s="1"/>
  <c r="DP23" i="6" a="1"/>
  <c r="DP23" i="6" s="1"/>
  <c r="DW27" i="6" a="1"/>
  <c r="DW27" i="6" s="1"/>
  <c r="DQ37" i="6" a="1"/>
  <c r="DQ37" i="6" s="1"/>
  <c r="DP39" i="6" a="1"/>
  <c r="DP39" i="6" s="1"/>
  <c r="DV45" i="6" a="1"/>
  <c r="DV45" i="6" s="1"/>
  <c r="DQ53" i="6" a="1"/>
  <c r="DQ53" i="6" s="1"/>
  <c r="DP55" i="6" a="1"/>
  <c r="DP55" i="6" s="1"/>
  <c r="DV61" i="6" a="1"/>
  <c r="DV61" i="6" s="1"/>
  <c r="DR67" i="6" a="1"/>
  <c r="DR67" i="6" s="1"/>
  <c r="DQ6" i="6" a="1"/>
  <c r="DQ6" i="6" s="1"/>
  <c r="DV14" i="6" a="1"/>
  <c r="DV14" i="6" s="1"/>
  <c r="DQ22" i="6" a="1"/>
  <c r="DQ22" i="6" s="1"/>
  <c r="DV30" i="6" a="1"/>
  <c r="DV30" i="6" s="1"/>
  <c r="DQ38" i="6" a="1"/>
  <c r="DQ38" i="6" s="1"/>
  <c r="DP40" i="6" a="1"/>
  <c r="DP40" i="6" s="1"/>
  <c r="DW44" i="6" a="1"/>
  <c r="DW44" i="6" s="1"/>
  <c r="DV46" i="6" a="1"/>
  <c r="DV46" i="6" s="1"/>
  <c r="DQ54" i="6" a="1"/>
  <c r="DQ54" i="6" s="1"/>
  <c r="DP56" i="6" a="1"/>
  <c r="DP56" i="6" s="1"/>
  <c r="DO58" i="6" a="1"/>
  <c r="DO58" i="6" s="1"/>
  <c r="DW60" i="6" a="1"/>
  <c r="DW60" i="6" s="1"/>
  <c r="DV62" i="6" a="1"/>
  <c r="DV62" i="6" s="1"/>
  <c r="DQ7" i="6" a="1"/>
  <c r="DQ7" i="6" s="1"/>
  <c r="DW13" i="6" a="1"/>
  <c r="DW13" i="6" s="1"/>
  <c r="DU17" i="6" a="1"/>
  <c r="DU17" i="6" s="1"/>
  <c r="DR21" i="6" a="1"/>
  <c r="DR21" i="6" s="1"/>
  <c r="DQ23" i="6" a="1"/>
  <c r="DQ23" i="6" s="1"/>
  <c r="DW29" i="6" a="1"/>
  <c r="DW29" i="6" s="1"/>
  <c r="DU33" i="6" a="1"/>
  <c r="DU33" i="6" s="1"/>
  <c r="DR37" i="6" a="1"/>
  <c r="DR37" i="6" s="1"/>
  <c r="DQ39" i="6" a="1"/>
  <c r="DQ39" i="6" s="1"/>
  <c r="DW45" i="6" a="1"/>
  <c r="DW45" i="6" s="1"/>
  <c r="DU49" i="6" a="1"/>
  <c r="DU49" i="6" s="1"/>
  <c r="DR53" i="6" a="1"/>
  <c r="DR53" i="6" s="1"/>
  <c r="DQ55" i="6" a="1"/>
  <c r="DQ55" i="6" s="1"/>
  <c r="DW61" i="6" a="1"/>
  <c r="DW61" i="6" s="1"/>
  <c r="DU65" i="6" a="1"/>
  <c r="DU65" i="6" s="1"/>
  <c r="DR6" i="6" a="1"/>
  <c r="DR6" i="6" s="1"/>
  <c r="DP10" i="6" a="1"/>
  <c r="DP10" i="6" s="1"/>
  <c r="DW14" i="6" a="1"/>
  <c r="DW14" i="6" s="1"/>
  <c r="DR22" i="6" a="1"/>
  <c r="DR22" i="6" s="1"/>
  <c r="DW30" i="6" a="1"/>
  <c r="DW30" i="6" s="1"/>
  <c r="DR38" i="6" a="1"/>
  <c r="DR38" i="6" s="1"/>
  <c r="DW46" i="6" a="1"/>
  <c r="DW46" i="6" s="1"/>
  <c r="DR54" i="6" a="1"/>
  <c r="DR54" i="6" s="1"/>
  <c r="DW62" i="6" a="1"/>
  <c r="DW62" i="6" s="1"/>
  <c r="DR7" i="6" a="1"/>
  <c r="DR7" i="6" s="1"/>
  <c r="DR23" i="6" a="1"/>
  <c r="DR23" i="6" s="1"/>
  <c r="DR39" i="6" a="1"/>
  <c r="DR39" i="6" s="1"/>
  <c r="DR55" i="6" a="1"/>
  <c r="DR55" i="6" s="1"/>
  <c r="DU67" i="6" a="1"/>
  <c r="DU67" i="6" s="1"/>
  <c r="DO46" i="6" a="1"/>
  <c r="DO46" i="6" s="1"/>
  <c r="DV66" i="6" a="1"/>
  <c r="DV66" i="6" s="1"/>
  <c r="DQ11" i="6" a="1"/>
  <c r="DQ11" i="6" s="1"/>
  <c r="DP13" i="6" a="1"/>
  <c r="DP13" i="6" s="1"/>
  <c r="DU21" i="6" a="1"/>
  <c r="DU21" i="6" s="1"/>
  <c r="DQ27" i="6" a="1"/>
  <c r="DQ27" i="6" s="1"/>
  <c r="DP29" i="6" a="1"/>
  <c r="DP29" i="6" s="1"/>
  <c r="DU37" i="6" a="1"/>
  <c r="DU37" i="6" s="1"/>
  <c r="DQ43" i="6" a="1"/>
  <c r="DQ43" i="6" s="1"/>
  <c r="DP45" i="6" a="1"/>
  <c r="DP45" i="6" s="1"/>
  <c r="DU53" i="6" a="1"/>
  <c r="DU53" i="6" s="1"/>
  <c r="DQ59" i="6" a="1"/>
  <c r="DQ59" i="6" s="1"/>
  <c r="DP61" i="6" a="1"/>
  <c r="DP61" i="6" s="1"/>
  <c r="DV67" i="6" a="1"/>
  <c r="DV67" i="6" s="1"/>
  <c r="DP67" i="6" a="1"/>
  <c r="DP67" i="6" s="1"/>
  <c r="CB7" i="6" a="1"/>
  <c r="CB7" i="6" s="1"/>
  <c r="BZ11" i="6" a="1"/>
  <c r="BZ11" i="6" s="1"/>
  <c r="CB23" i="6" a="1"/>
  <c r="CB23" i="6" s="1"/>
  <c r="BZ27" i="6" a="1"/>
  <c r="BZ27" i="6" s="1"/>
  <c r="CB39" i="6" a="1"/>
  <c r="CB39" i="6" s="1"/>
  <c r="CB55" i="6" a="1"/>
  <c r="CB55" i="6" s="1"/>
  <c r="BZ61" i="6" a="1"/>
  <c r="BZ61" i="6" s="1"/>
  <c r="CA55" i="6" a="1"/>
  <c r="CA55" i="6" s="1"/>
  <c r="BZ6" i="6" a="1"/>
  <c r="BZ6" i="6" s="1"/>
  <c r="CB18" i="6" a="1"/>
  <c r="CB18" i="6" s="1"/>
  <c r="CA20" i="6" a="1"/>
  <c r="CA20" i="6" s="1"/>
  <c r="BZ22" i="6" a="1"/>
  <c r="BZ22" i="6" s="1"/>
  <c r="CB34" i="6" a="1"/>
  <c r="CB34" i="6" s="1"/>
  <c r="CA36" i="6" a="1"/>
  <c r="CA36" i="6" s="1"/>
  <c r="BZ38" i="6" a="1"/>
  <c r="BZ38" i="6" s="1"/>
  <c r="CB50" i="6" a="1"/>
  <c r="CB50" i="6" s="1"/>
  <c r="CA52" i="6" a="1"/>
  <c r="CA52" i="6" s="1"/>
  <c r="BZ54" i="6" a="1"/>
  <c r="BZ54" i="6" s="1"/>
  <c r="CB66" i="6" a="1"/>
  <c r="CB66" i="6" s="1"/>
  <c r="BZ18" i="6" a="1"/>
  <c r="BZ18" i="6" s="1"/>
  <c r="BZ4" i="6" a="1"/>
  <c r="BZ4" i="6" s="1"/>
  <c r="BZ20" i="6" a="1"/>
  <c r="BZ20" i="6" s="1"/>
  <c r="BZ36" i="6" a="1"/>
  <c r="BZ36" i="6" s="1"/>
  <c r="CA66" i="6" a="1"/>
  <c r="CA66" i="6" s="1"/>
  <c r="BZ13" i="6" a="1"/>
  <c r="BZ13" i="6" s="1"/>
  <c r="BZ29" i="6" a="1"/>
  <c r="BZ29" i="6" s="1"/>
  <c r="CA4" i="6" a="1"/>
  <c r="CA4" i="6" s="1"/>
  <c r="CB11" i="6" a="1"/>
  <c r="CB11" i="6" s="1"/>
  <c r="CA13" i="6" a="1"/>
  <c r="CA13" i="6" s="1"/>
  <c r="BZ15" i="6" a="1"/>
  <c r="BZ15" i="6" s="1"/>
  <c r="CA29" i="6" a="1"/>
  <c r="CA29" i="6" s="1"/>
  <c r="BZ31" i="6" a="1"/>
  <c r="BZ31" i="6" s="1"/>
  <c r="CA45" i="6" a="1"/>
  <c r="CA45" i="6" s="1"/>
  <c r="BZ47" i="6" a="1"/>
  <c r="BZ47" i="6" s="1"/>
  <c r="CA61" i="6" a="1"/>
  <c r="CA61" i="6" s="1"/>
  <c r="BZ63" i="6" a="1"/>
  <c r="BZ63" i="6" s="1"/>
  <c r="BZ50" i="6" a="1"/>
  <c r="BZ50" i="6" s="1"/>
  <c r="CA34" i="6" a="1"/>
  <c r="CA34" i="6" s="1"/>
  <c r="BZ52" i="6" a="1"/>
  <c r="BZ52" i="6" s="1"/>
  <c r="CB20" i="6" a="1"/>
  <c r="CB20" i="6" s="1"/>
  <c r="CA22" i="6" a="1"/>
  <c r="CA22" i="6" s="1"/>
  <c r="BZ24" i="6" a="1"/>
  <c r="BZ24" i="6" s="1"/>
  <c r="CA38" i="6" a="1"/>
  <c r="CA38" i="6" s="1"/>
  <c r="BZ40" i="6" a="1"/>
  <c r="BZ40" i="6" s="1"/>
  <c r="CB52" i="6" a="1"/>
  <c r="CB52" i="6" s="1"/>
  <c r="CA54" i="6" a="1"/>
  <c r="CA54" i="6" s="1"/>
  <c r="BZ56" i="6" a="1"/>
  <c r="BZ56" i="6" s="1"/>
  <c r="BZ34" i="6" a="1"/>
  <c r="BZ34" i="6" s="1"/>
  <c r="CA50" i="6" a="1"/>
  <c r="CA50" i="6" s="1"/>
  <c r="BZ8" i="6" a="1"/>
  <c r="BZ8" i="6" s="1"/>
  <c r="CA15" i="6" a="1"/>
  <c r="CA15" i="6" s="1"/>
  <c r="BZ17" i="6" a="1"/>
  <c r="BZ17" i="6" s="1"/>
  <c r="CA31" i="6" a="1"/>
  <c r="CA31" i="6" s="1"/>
  <c r="BZ33" i="6" a="1"/>
  <c r="BZ33" i="6" s="1"/>
  <c r="CB45" i="6" a="1"/>
  <c r="CB45" i="6" s="1"/>
  <c r="CA47" i="6" a="1"/>
  <c r="CA47" i="6" s="1"/>
  <c r="BZ49" i="6" a="1"/>
  <c r="BZ49" i="6" s="1"/>
  <c r="CA63" i="6" a="1"/>
  <c r="CA63" i="6" s="1"/>
  <c r="BZ65" i="6" a="1"/>
  <c r="BZ65" i="6" s="1"/>
  <c r="CA6" i="6" a="1"/>
  <c r="CA6" i="6" s="1"/>
  <c r="CA56" i="6" a="1"/>
  <c r="CA56" i="6" s="1"/>
  <c r="BZ58" i="6" a="1"/>
  <c r="BZ58" i="6" s="1"/>
  <c r="CA18" i="6" a="1"/>
  <c r="CA18" i="6" s="1"/>
  <c r="CA33" i="6" a="1"/>
  <c r="CA33" i="6" s="1"/>
  <c r="BZ35" i="6" a="1"/>
  <c r="BZ35" i="6" s="1"/>
  <c r="CA49" i="6" a="1"/>
  <c r="CA49" i="6" s="1"/>
  <c r="BZ51" i="6" a="1"/>
  <c r="BZ51" i="6" s="1"/>
  <c r="CA65" i="6" a="1"/>
  <c r="CA65" i="6" s="1"/>
  <c r="BZ67" i="6" a="1"/>
  <c r="BZ67" i="6" s="1"/>
  <c r="CA58" i="6" a="1"/>
  <c r="CA58" i="6" s="1"/>
  <c r="BZ60" i="6" a="1"/>
  <c r="BZ60" i="6" s="1"/>
  <c r="CA67" i="6" a="1"/>
  <c r="CA67" i="6" s="1"/>
  <c r="BZ46" i="6" a="1"/>
  <c r="BZ46" i="6" s="1"/>
  <c r="CA60" i="6" a="1"/>
  <c r="CA60" i="6" s="1"/>
  <c r="BZ62" i="6" a="1"/>
  <c r="BZ6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Sozos Koulas</author>
  </authors>
  <commentList>
    <comment ref="BA2" authorId="0" shapeId="0" xr:uid="{55050031-EAC4-485E-A91E-C803181325C3}">
      <text>
        <r>
          <rPr>
            <b/>
            <sz val="9"/>
            <color indexed="81"/>
            <rFont val="Tahoma"/>
            <charset val="1"/>
          </rPr>
          <t>Sozos Koulas:</t>
        </r>
        <r>
          <rPr>
            <sz val="9"/>
            <color indexed="81"/>
            <rFont val="Tahoma"/>
            <charset val="1"/>
          </rPr>
          <t xml:space="preserve">
2 flops x 128 MACs x 300 MHz = 76.8 GFLOPS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<sst xmlns="http://schemas.openxmlformats.org/spreadsheetml/2006/main" count="3330" uniqueCount="829">
  <si>
    <t>design</t>
  </si>
  <si>
    <t>clock_mhz</t>
  </si>
  <si>
    <t>sparsity</t>
  </si>
  <si>
    <t>sparsity_order</t>
  </si>
  <si>
    <t>estimator</t>
  </si>
  <si>
    <t>n_runs</t>
  </si>
  <si>
    <t>M_rows</t>
  </si>
  <si>
    <t>N_cols</t>
  </si>
  <si>
    <t>weight_beats</t>
  </si>
  <si>
    <t>beats_per_row</t>
  </si>
  <si>
    <t>latency_avg_us</t>
  </si>
  <si>
    <t>latency_best_us</t>
  </si>
  <si>
    <t>latency_worst_us</t>
  </si>
  <si>
    <t>spread_pct</t>
  </si>
  <si>
    <t>Mrow_s</t>
  </si>
  <si>
    <t>bandwidth_avg_GBs</t>
  </si>
  <si>
    <t>bandwidth_roofline_GBs</t>
  </si>
  <si>
    <t>pct_of_roofline</t>
  </si>
  <si>
    <t>GFLOPS_effective</t>
  </si>
  <si>
    <t>GFLOPS_actual</t>
  </si>
  <si>
    <t>speedup_vs_dense</t>
  </si>
  <si>
    <t>theory_speedup</t>
  </si>
  <si>
    <t>pct_of_theory</t>
  </si>
  <si>
    <t>input_PCs</t>
  </si>
  <si>
    <t>DSPs</t>
  </si>
  <si>
    <t>GFLOPS_eff_per_DSP</t>
  </si>
  <si>
    <t>ideal_latency_us</t>
  </si>
  <si>
    <t>dsp_occupancy_raw</t>
  </si>
  <si>
    <t>launch_overhead_us</t>
  </si>
  <si>
    <t>dsp_occupancy_compute</t>
  </si>
  <si>
    <t>dsp_stall_pct</t>
  </si>
  <si>
    <t>MAC_rate_GMACs</t>
  </si>
  <si>
    <t>GFLOPS_actual_per_DSP</t>
  </si>
  <si>
    <t>runs</t>
  </si>
  <si>
    <t>dense</t>
  </si>
  <si>
    <t>run_avg3</t>
  </si>
  <si>
    <t>7747.209 7754.049 7735.473</t>
  </si>
  <si>
    <t>sparse</t>
  </si>
  <si>
    <t>2:4</t>
  </si>
  <si>
    <t>7832.520 7824.003 7858.873 7799.745 7821.530 7822.824</t>
  </si>
  <si>
    <t>2:8</t>
  </si>
  <si>
    <t>7841.451 7839.661 7874.058 7885.782 7905.205 7748.434</t>
  </si>
  <si>
    <t>2:16</t>
  </si>
  <si>
    <t>7897.634 7968.461 7917.867 7779.594 7923.621 7978.226</t>
  </si>
  <si>
    <t>2:32</t>
  </si>
  <si>
    <t>7953.457 8010.233 8059.005 8122.858 7999.282 7886.723</t>
  </si>
  <si>
    <t>MIXED</t>
  </si>
  <si>
    <t>7524.872 7393.941 7232.363 7641.087 7407.585 7469.585</t>
  </si>
  <si>
    <t>7141.519 7132.197 7116.794</t>
  </si>
  <si>
    <t>7233.533 7346.612 7338.041</t>
  </si>
  <si>
    <t>7261.852 7357.319 7335.403</t>
  </si>
  <si>
    <t>7239.728 7378.655 7404.427</t>
  </si>
  <si>
    <t>7506.409 7546.398 7482.858</t>
  </si>
  <si>
    <t>6938.383 6881.079 6933.876</t>
  </si>
  <si>
    <t>shape</t>
  </si>
  <si>
    <t>dimensions</t>
  </si>
  <si>
    <t>matrix_elements</t>
  </si>
  <si>
    <t>shape_order</t>
  </si>
  <si>
    <t>nwin</t>
  </si>
  <si>
    <t>beats_per_matrix</t>
  </si>
  <si>
    <t>batch_R</t>
  </si>
  <si>
    <t>latency_per_matrix_us</t>
  </si>
  <si>
    <t>ideal_per_matrix_us</t>
  </si>
  <si>
    <t>dsp_occupancy</t>
  </si>
  <si>
    <t>bandwidth_GBs</t>
  </si>
  <si>
    <t>latency_norm_dense</t>
  </si>
  <si>
    <t>G1</t>
  </si>
  <si>
    <t>512x512</t>
  </si>
  <si>
    <t>G2</t>
  </si>
  <si>
    <t>768x768</t>
  </si>
  <si>
    <t>G3</t>
  </si>
  <si>
    <t>1024x1024</t>
  </si>
  <si>
    <t>G4</t>
  </si>
  <si>
    <t>3072x768</t>
  </si>
  <si>
    <t>G5</t>
  </si>
  <si>
    <t>768x3072</t>
  </si>
  <si>
    <t>G6</t>
  </si>
  <si>
    <t>4096x1024</t>
  </si>
  <si>
    <t>G7</t>
  </si>
  <si>
    <t>1024x4096</t>
  </si>
  <si>
    <t>G8</t>
  </si>
  <si>
    <t>2048x2048</t>
  </si>
  <si>
    <t>G9</t>
  </si>
  <si>
    <t>4096x4096</t>
  </si>
  <si>
    <t>G10</t>
  </si>
  <si>
    <t>8192x2048</t>
  </si>
  <si>
    <t>G11</t>
  </si>
  <si>
    <t>2048x8192</t>
  </si>
  <si>
    <t>GEOMEAN</t>
  </si>
  <si>
    <t>sparsity_M</t>
  </si>
  <si>
    <t>beats_per_cycle</t>
  </si>
  <si>
    <t>board_load_W</t>
  </si>
  <si>
    <t>board_idle_W</t>
  </si>
  <si>
    <t>board_dynamic_W</t>
  </si>
  <si>
    <t>vccint_load_W</t>
  </si>
  <si>
    <t>vccint_idle_W</t>
  </si>
  <si>
    <t>vccint_dynamic_W</t>
  </si>
  <si>
    <t>noncore_dynamic_W</t>
  </si>
  <si>
    <t>energy_nJ_per_row_board</t>
  </si>
  <si>
    <t>energy_nJ_per_row_vccint</t>
  </si>
  <si>
    <t>GMAC_per_W</t>
  </si>
  <si>
    <t>sweep_fit</t>
  </si>
  <si>
    <t>power_soak</t>
  </si>
  <si>
    <t>MIXED 2:4|2:8|2:16|2:32</t>
  </si>
  <si>
    <t>mixed_run_avg3</t>
  </si>
  <si>
    <t>row_type</t>
  </si>
  <si>
    <t>seq</t>
  </si>
  <si>
    <t>sparsity_code</t>
  </si>
  <si>
    <t>freeze_cycles</t>
  </si>
  <si>
    <t>beats_per_lap</t>
  </si>
  <si>
    <t>laps</t>
  </si>
  <si>
    <t>rows</t>
  </si>
  <si>
    <t>us_per_beat_own_uniform_fit</t>
  </si>
  <si>
    <t>predicted_compute_us</t>
  </si>
  <si>
    <t>kernel_span_us</t>
  </si>
  <si>
    <t>beats_per_cycle_raw</t>
  </si>
  <si>
    <t>span_best_us</t>
  </si>
  <si>
    <t>span_worst_us</t>
  </si>
  <si>
    <t>implied_overhead_us</t>
  </si>
  <si>
    <t>beats_per_cycle_overhead_corrected</t>
  </si>
  <si>
    <t>segment</t>
  </si>
  <si>
    <t>00</t>
  </si>
  <si>
    <t>01</t>
  </si>
  <si>
    <t>10</t>
  </si>
  <si>
    <t>11</t>
  </si>
  <si>
    <t>total</t>
  </si>
  <si>
    <t>repetition</t>
  </si>
  <si>
    <t>summary</t>
  </si>
  <si>
    <t>site_type</t>
  </si>
  <si>
    <t>SLR0</t>
  </si>
  <si>
    <t>SLR1</t>
  </si>
  <si>
    <t>SLR2</t>
  </si>
  <si>
    <t>SLR0_pct</t>
  </si>
  <si>
    <t>SLR1_pct</t>
  </si>
  <si>
    <t>SLR2_pct</t>
  </si>
  <si>
    <t>holds</t>
  </si>
  <si>
    <t>CLB</t>
  </si>
  <si>
    <t>CLB LUTs</t>
  </si>
  <si>
    <t>LUT as Logic</t>
  </si>
  <si>
    <t>LUT as Memory</t>
  </si>
  <si>
    <t>CLB Registers</t>
  </si>
  <si>
    <t>CARRY8</t>
  </si>
  <si>
    <t>F7 Muxes</t>
  </si>
  <si>
    <t>8192 of SLR1's are the sparse gather muxes</t>
  </si>
  <si>
    <t>F8 Muxes</t>
  </si>
  <si>
    <t>Block RAM Tile</t>
  </si>
  <si>
    <t>SLR0 highest (41%) = mover FIFOs + HBM interconnect</t>
  </si>
  <si>
    <t>URAM</t>
  </si>
  <si>
    <t>ALL 512 in SLR1 = the entire GEMV engine, one die</t>
  </si>
  <si>
    <t>GTs</t>
  </si>
  <si>
    <t>SLR0 only = PCIe transceivers</t>
  </si>
  <si>
    <t>SLL SLR1&lt;-&gt;SLR0</t>
  </si>
  <si>
    <t>the 17 AXIS kernel-to-kernel streams</t>
  </si>
  <si>
    <t>SLL SLR2&lt;-&gt;SLR1</t>
  </si>
  <si>
    <t>platform, not ours</t>
  </si>
  <si>
    <t>SLL total</t>
  </si>
  <si>
    <t>Shape</t>
  </si>
  <si>
    <t>CHART 1 — speedup_vs_dense by shape (Shapes, sparse only, sorted by shape_order 1..12)</t>
  </si>
  <si>
    <t>Sparsity</t>
  </si>
  <si>
    <t>300 MHz</t>
  </si>
  <si>
    <t>325 MHz</t>
  </si>
  <si>
    <t>CHART 2 — GFLOPS_effective by sparsity &amp; clock (avg3 comparison)</t>
  </si>
  <si>
    <t>Rows computed</t>
  </si>
  <si>
    <t>Latency (us)</t>
  </si>
  <si>
    <t>CHART 3 — 300 MHz only, MIXED excluded</t>
  </si>
  <si>
    <t>GFLOPS actual per DSP</t>
  </si>
  <si>
    <t>GFLOPS effective per DSP</t>
  </si>
  <si>
    <t>CHART 4 — 300 MHz only</t>
  </si>
  <si>
    <t>CHART 5 — dsp_occupancy_compute</t>
  </si>
  <si>
    <t>CHART 6 — Master, estimator = power_soak only</t>
  </si>
  <si>
    <t>Board load (W)</t>
  </si>
  <si>
    <t>CHART 7 — Master, power_soak AND 300 MHz</t>
  </si>
  <si>
    <t>Case</t>
  </si>
  <si>
    <t>2:4 segment</t>
  </si>
  <si>
    <t>2:8 segment</t>
  </si>
  <si>
    <t>2:16 segment</t>
  </si>
  <si>
    <t>2:32 segment</t>
  </si>
  <si>
    <t>launch overhead</t>
  </si>
  <si>
    <t>Measured kernel span</t>
  </si>
  <si>
    <t>Predicted</t>
  </si>
  <si>
    <t>Measured</t>
  </si>
  <si>
    <t>Predicted total</t>
  </si>
  <si>
    <t>CHART 8 — segments from row_type=segment; overhead = implied_overhead_us; measured = kernel_span_us (row_type=summary)</t>
  </si>
  <si>
    <t>Hardware ceiling (GFLOPS)</t>
  </si>
  <si>
    <t>Dimensions</t>
  </si>
  <si>
    <t>dense (eff)</t>
  </si>
  <si>
    <t>2:4 (eff)</t>
  </si>
  <si>
    <t>2:8 (eff)</t>
  </si>
  <si>
    <t>2:16 (eff)</t>
  </si>
  <si>
    <t>2:32 (eff)</t>
  </si>
  <si>
    <t>hardware ceiling</t>
  </si>
  <si>
    <t>CHARTS 9 &amp; 10 — Shapes, GEOMEAN (shape_order 12) excluded; actual = GFLOPS_actual, eff = GFLOPS_effective</t>
  </si>
  <si>
    <t>hardware ceiling (2 flops x 128 MACs x 300 MHz)</t>
  </si>
  <si>
    <t>CHART 9 — GFLOPS_actual by dimensions + ceiling reference line</t>
  </si>
  <si>
    <t>data_source</t>
  </si>
  <si>
    <t>measured</t>
  </si>
  <si>
    <t>energy_static_uJ</t>
  </si>
  <si>
    <t>energy_dynamic_uJ</t>
  </si>
  <si>
    <t>energy_total_uJ</t>
  </si>
  <si>
    <t>energy_static_pJ_per_element</t>
  </si>
  <si>
    <t>energy_dynamic_pJ_per_element</t>
  </si>
  <si>
    <t>energy_total_pJ_per_element</t>
  </si>
  <si>
    <t>static_pct</t>
  </si>
  <si>
    <t>energy_vs_dense</t>
  </si>
  <si>
    <t>Static (pJ/element)</t>
  </si>
  <si>
    <t>Dynamic (pJ/element)</t>
  </si>
  <si>
    <t>Src row (helper)</t>
  </si>
  <si>
    <t>Static (uJ)</t>
  </si>
  <si>
    <t>Dynamic (uJ)</t>
  </si>
  <si>
    <t>latency_us_300_avg3</t>
  </si>
  <si>
    <t>latency_us_325_avg3</t>
  </si>
  <si>
    <t>Mrow_s_300_avg3</t>
  </si>
  <si>
    <t>Mrow_s_325_avg3</t>
  </si>
  <si>
    <t>GFLOPS_eff_300_avg3</t>
  </si>
  <si>
    <t>GFLOPS_eff_325_avg3</t>
  </si>
  <si>
    <t>GFLOPS_act_300_avg3</t>
  </si>
  <si>
    <t>GFLOPS_act_325_avg3</t>
  </si>
  <si>
    <t>speedup_vs_dense_300_avg3</t>
  </si>
  <si>
    <t>speedup_vs_dense_325_avg3</t>
  </si>
  <si>
    <t>dsp_occupancy_300_avg3</t>
  </si>
  <si>
    <t>dsp_occupancy_325_avg3</t>
  </si>
  <si>
    <t>clock_scaling_avg3</t>
  </si>
  <si>
    <t>clock_scaling_ideal</t>
  </si>
  <si>
    <t>pct_of_ideal_avg3</t>
  </si>
  <si>
    <t>Mrow_s_300_soak</t>
  </si>
  <si>
    <t>Mrow_s_325_soak</t>
  </si>
  <si>
    <t>clock_scaling_soak</t>
  </si>
  <si>
    <t>pct_of_ideal_soak</t>
  </si>
  <si>
    <t>board_load_W_300_soak</t>
  </si>
  <si>
    <t>board_load_W_325_soak</t>
  </si>
  <si>
    <t>board_idle_W_300_soak</t>
  </si>
  <si>
    <t>board_idle_W_325_soak</t>
  </si>
  <si>
    <t>energy_nJ_per_row_300_soak</t>
  </si>
  <si>
    <t>energy_nJ_per_row_325_soak</t>
  </si>
  <si>
    <t>energy_vs_dense_300_soak</t>
  </si>
  <si>
    <t>energy_vs_dense_325_soak</t>
  </si>
  <si>
    <t>energy_nJ_per_row_300_vccint</t>
  </si>
  <si>
    <t>energy_nJ_per_row_325_vccint</t>
  </si>
  <si>
    <t>n_soaks_300</t>
  </si>
  <si>
    <t>n_soaks_325</t>
  </si>
  <si>
    <t>Configuration</t>
  </si>
  <si>
    <t>measured 325/300</t>
  </si>
  <si>
    <t>ideal (325/300)</t>
  </si>
  <si>
    <t>row_order</t>
  </si>
  <si>
    <t>serpens_id</t>
  </si>
  <si>
    <t>label</t>
  </si>
  <si>
    <t>matrix</t>
  </si>
  <si>
    <t>nnz</t>
  </si>
  <si>
    <t>serpens_ms</t>
  </si>
  <si>
    <t>thesis_ms_300</t>
  </si>
  <si>
    <t>thesis_ms_325</t>
  </si>
  <si>
    <t>speedup_raw_300</t>
  </si>
  <si>
    <t>speedup_raw_325</t>
  </si>
  <si>
    <t>speedup_compute_300</t>
  </si>
  <si>
    <t>speedup_compute_325</t>
  </si>
  <si>
    <t>serpens_occupancy</t>
  </si>
  <si>
    <t>thesis_occupancy_300</t>
  </si>
  <si>
    <t>thesis_occupancy_325</t>
  </si>
  <si>
    <t>serpens_stream_pct</t>
  </si>
  <si>
    <t>G1 googleplus</t>
  </si>
  <si>
    <t>googleplus</t>
  </si>
  <si>
    <t>300: shapes_H1_300MHz.csv row H1 (2:32 @ 300 MHz), MEASURED | 325: shapes_H1_325MHz.csv row H1 (2:32 @ 325 MHz), MEASURED</t>
  </si>
  <si>
    <t>G2 crankseg_2</t>
  </si>
  <si>
    <t>crankseg_2</t>
  </si>
  <si>
    <t>G3 Si41Ge41H72</t>
  </si>
  <si>
    <t>Si41Ge41H72</t>
  </si>
  <si>
    <t>G4 TSOPF_RS_b2383</t>
  </si>
  <si>
    <t>TSOPF_RS_b2383</t>
  </si>
  <si>
    <t>G5 ML_Laplace</t>
  </si>
  <si>
    <t>ML_Laplace</t>
  </si>
  <si>
    <t>G6 mouse_gene</t>
  </si>
  <si>
    <t>mouse_gene</t>
  </si>
  <si>
    <t>G7 soc_pokec</t>
  </si>
  <si>
    <t>soc_pokec</t>
  </si>
  <si>
    <t>G8 coPapersCiteseer</t>
  </si>
  <si>
    <t>coPapersCiteseer</t>
  </si>
  <si>
    <t>G9 PFlow_742</t>
  </si>
  <si>
    <t>PFlow_742</t>
  </si>
  <si>
    <t>G10 ogbl_ppa</t>
  </si>
  <si>
    <t>ogbl_ppa</t>
  </si>
  <si>
    <t>G11 hollywood</t>
  </si>
  <si>
    <t>hollywood</t>
  </si>
  <si>
    <t>G12</t>
  </si>
  <si>
    <t>G12 ogbn_products</t>
  </si>
  <si>
    <t>ogbn_products</t>
  </si>
  <si>
    <t>Serpens matrix</t>
  </si>
  <si>
    <t>parity</t>
  </si>
  <si>
    <t>Serpens-A16</t>
  </si>
  <si>
    <t>This engine, 300 MHz</t>
  </si>
  <si>
    <t>roofline</t>
  </si>
  <si>
    <t>config</t>
  </si>
  <si>
    <t>cores</t>
  </si>
  <si>
    <t>blocks</t>
  </si>
  <si>
    <t>W_IDX</t>
  </si>
  <si>
    <t>blocks_total</t>
  </si>
  <si>
    <t>macs_per_cycle</t>
  </si>
  <si>
    <t>wns_ns</t>
  </si>
  <si>
    <t>tns_ns</t>
  </si>
  <si>
    <t>failing_endpoints</t>
  </si>
  <si>
    <t>period_ns</t>
  </si>
  <si>
    <t>fmax_mhz</t>
  </si>
  <si>
    <t>fmax_vs_8x8</t>
  </si>
  <si>
    <t>lut_prim</t>
  </si>
  <si>
    <t>lut_vs_8x8</t>
  </si>
  <si>
    <t>ff_prim</t>
  </si>
  <si>
    <t>ff_vs_8x8</t>
  </si>
  <si>
    <t>ff_model</t>
  </si>
  <si>
    <t>ff_model_error</t>
  </si>
  <si>
    <t>muxf7_prim</t>
  </si>
  <si>
    <t>dsp_prim</t>
  </si>
  <si>
    <t>ramb_prim</t>
  </si>
  <si>
    <t>1x64</t>
  </si>
  <si>
    <t>2x32</t>
  </si>
  <si>
    <t>4x16</t>
  </si>
  <si>
    <t>8x8</t>
  </si>
  <si>
    <t>16x4</t>
  </si>
  <si>
    <t>32x2</t>
  </si>
  <si>
    <t>64x1</t>
  </si>
  <si>
    <t>CORES × BLOCKS</t>
  </si>
  <si>
    <t>Fmax (MHz)</t>
  </si>
  <si>
    <t>LUT</t>
  </si>
  <si>
    <t>FF</t>
  </si>
  <si>
    <t>T=128</t>
  </si>
  <si>
    <t>16x8</t>
  </si>
  <si>
    <t>8x16</t>
  </si>
  <si>
    <t>4x32</t>
  </si>
  <si>
    <t>T=96</t>
  </si>
  <si>
    <t>16x6</t>
  </si>
  <si>
    <t>8x12</t>
  </si>
  <si>
    <t>4x24</t>
  </si>
  <si>
    <t>T=64</t>
  </si>
  <si>
    <t>T=48</t>
  </si>
  <si>
    <t>16x3</t>
  </si>
  <si>
    <t>8x6</t>
  </si>
  <si>
    <t>4x12</t>
  </si>
  <si>
    <t>T=32</t>
  </si>
  <si>
    <t>16x2</t>
  </si>
  <si>
    <t>8x4</t>
  </si>
  <si>
    <t>4x8</t>
  </si>
  <si>
    <t>T=16</t>
  </si>
  <si>
    <t>16x1</t>
  </si>
  <si>
    <t>8x2</t>
  </si>
  <si>
    <t>4x4</t>
  </si>
  <si>
    <t>dsps_per_channel</t>
  </si>
  <si>
    <t>gmac_per_channel</t>
  </si>
  <si>
    <t>gmac_per_s</t>
  </si>
  <si>
    <t>ff_per_dsp</t>
  </si>
  <si>
    <t>lut_per_dsp</t>
  </si>
  <si>
    <t>ind_bits</t>
  </si>
  <si>
    <t>w_idx</t>
  </si>
  <si>
    <t>c_pcs</t>
  </si>
  <si>
    <t>a_pcs</t>
  </si>
  <si>
    <t>ind_pcs</t>
  </si>
  <si>
    <t>w_pcs</t>
  </si>
  <si>
    <t>hbm_pcs</t>
  </si>
  <si>
    <t>dsps</t>
  </si>
  <si>
    <t>family</t>
  </si>
  <si>
    <t>spread_mhz</t>
  </si>
  <si>
    <t>dsp_ratio_vs_prev</t>
  </si>
  <si>
    <t>gmac_ratio_vs_prev</t>
  </si>
  <si>
    <t>scaling_efficiency</t>
  </si>
  <si>
    <t>Family</t>
  </si>
  <si>
    <t>4 cores</t>
  </si>
  <si>
    <t>8 cores</t>
  </si>
  <si>
    <t>16 cores</t>
  </si>
  <si>
    <t>HBM channels</t>
  </si>
  <si>
    <t>GMAC/s per channel</t>
  </si>
  <si>
    <t>role</t>
  </si>
  <si>
    <t>floorplan</t>
  </si>
  <si>
    <t>dsps_theory</t>
  </si>
  <si>
    <t>spare_pcs</t>
  </si>
  <si>
    <t>target_mhz</t>
  </si>
  <si>
    <t>timing_source</t>
  </si>
  <si>
    <t>kernel_wns_ns</t>
  </si>
  <si>
    <t>kernel_tns_ns</t>
  </si>
  <si>
    <t>kernel_failing_endpoints</t>
  </si>
  <si>
    <t>kernel_total_endpoints</t>
  </si>
  <si>
    <t>kernel_whs_ns</t>
  </si>
  <si>
    <t>kernel_wns_routed_ns</t>
  </si>
  <si>
    <t>kernel_fail_routed</t>
  </si>
  <si>
    <t>physopt_gain_ps</t>
  </si>
  <si>
    <t>hbm_wns_ns</t>
  </si>
  <si>
    <t>hbm_failing_endpoints</t>
  </si>
  <si>
    <t>closed</t>
  </si>
  <si>
    <t>achieved_mhz</t>
  </si>
  <si>
    <t>fmax_kind</t>
  </si>
  <si>
    <t>ooc_fmax_mhz</t>
  </si>
  <si>
    <t>target_over_ooc</t>
  </si>
  <si>
    <t>gemv_lut</t>
  </si>
  <si>
    <t>gemv_lutram</t>
  </si>
  <si>
    <t>gemv_ff</t>
  </si>
  <si>
    <t>gemv_bram</t>
  </si>
  <si>
    <t>gemv_dsp</t>
  </si>
  <si>
    <t>mm2s_count</t>
  </si>
  <si>
    <t>mm2s_lut</t>
  </si>
  <si>
    <t>mm2s_ff</t>
  </si>
  <si>
    <t>mm2s_bram</t>
  </si>
  <si>
    <t>s2mm_count</t>
  </si>
  <si>
    <t>s2mm_lut</t>
  </si>
  <si>
    <t>s2mm_ff</t>
  </si>
  <si>
    <t>s2mm_bram</t>
  </si>
  <si>
    <t>movers_lut</t>
  </si>
  <si>
    <t>gemv_lut_per_dsp</t>
  </si>
  <si>
    <t>engine_die</t>
  </si>
  <si>
    <t>slr0_lut</t>
  </si>
  <si>
    <t>slr1_lut</t>
  </si>
  <si>
    <t>slr2_lut</t>
  </si>
  <si>
    <t>slr0_bram</t>
  </si>
  <si>
    <t>slr1_bram</t>
  </si>
  <si>
    <t>slr2_bram</t>
  </si>
  <si>
    <t>slr0_bram_pct</t>
  </si>
  <si>
    <t>slr0_dsp</t>
  </si>
  <si>
    <t>slr1_dsp</t>
  </si>
  <si>
    <t>slr2_dsp</t>
  </si>
  <si>
    <t>sll_total</t>
  </si>
  <si>
    <t>sll_slr0_slr1</t>
  </si>
  <si>
    <t>sll_slr1_slr2</t>
  </si>
  <si>
    <t>sll_slr0_to_slr1</t>
  </si>
  <si>
    <t>sll_slr1_to_slr0</t>
  </si>
  <si>
    <t>gmac_per_hbm_pc</t>
  </si>
  <si>
    <t>dsps_per_hbm_pc</t>
  </si>
  <si>
    <t>report_dir</t>
  </si>
  <si>
    <t>note</t>
  </si>
  <si>
    <t>headline</t>
  </si>
  <si>
    <t>postroute_physopted</t>
  </si>
  <si>
    <t>yes</t>
  </si>
  <si>
    <t>lower_bound</t>
  </si>
  <si>
    <t>reports_4x4_400_slr0</t>
  </si>
  <si>
    <t>reports_8x4_375</t>
  </si>
  <si>
    <t>reports_16x3_350_missed</t>
  </si>
  <si>
    <t>closed on the FINAL report (+0.008; routed said -0.002); bit-exact on the card</t>
  </si>
  <si>
    <t>split</t>
  </si>
  <si>
    <t>reports_325</t>
  </si>
  <si>
    <t>reused pre-campaign build: split floorplan, NO synthesis strategy applied (run.synth_1 was silently ignored); area comparable -- gemv 66,186 LUT vs 66,183 with AlternateRoutability</t>
  </si>
  <si>
    <t>reports_4x24_300</t>
  </si>
  <si>
    <t>reports_4x32_250</t>
  </si>
  <si>
    <t>floorplan_experiment</t>
  </si>
  <si>
    <t>no</t>
  </si>
  <si>
    <t>estimate</t>
  </si>
  <si>
    <t>reports_4x4_400_split</t>
  </si>
  <si>
    <t>paired with the SLR0 headline: only the die assignment differs</t>
  </si>
  <si>
    <t>reports_8x8_325_slr0_missed</t>
  </si>
  <si>
    <t>the crossover: single-die above T=48</t>
  </si>
  <si>
    <t>constraint_experiment</t>
  </si>
  <si>
    <t>reports_16x3_345</t>
  </si>
  <si>
    <t>looser than 350 and MISSED, where 350 closed -- achieved period tracks the constraint</t>
  </si>
  <si>
    <t>reports_16x3_325</t>
  </si>
  <si>
    <t>rebuilt 'to be sure'; unnecessary once the 350 build was read from the final report</t>
  </si>
  <si>
    <t>host_cus</t>
  </si>
  <si>
    <t>macs_per_beat</t>
  </si>
  <si>
    <t>freq_ooc_fmax_mhz</t>
  </si>
  <si>
    <t>freq_closed_mhz</t>
  </si>
  <si>
    <t>freq_achieved_mhz</t>
  </si>
  <si>
    <t>freq_closed_over_ooc</t>
  </si>
  <si>
    <t>ss_overhead_us</t>
  </si>
  <si>
    <t>ss_overhead_se_us</t>
  </si>
  <si>
    <t>ss_gflops_act_ceiling</t>
  </si>
  <si>
    <t>soak_board_W_2to4</t>
  </si>
  <si>
    <t>soak_board_W_2to8</t>
  </si>
  <si>
    <t>soak_board_W_2to16</t>
  </si>
  <si>
    <t>soak_board_W_2to32</t>
  </si>
  <si>
    <t>soak_board_W_MIXED</t>
  </si>
  <si>
    <t>ss_gflops_eff_2to4</t>
  </si>
  <si>
    <t>ss_gflops_eff_2to8</t>
  </si>
  <si>
    <t>ss_gflops_eff_2to16</t>
  </si>
  <si>
    <t>ss_gflops_eff_2to32</t>
  </si>
  <si>
    <t>ss_gflops_eff_MIXED</t>
  </si>
  <si>
    <t>ss_gflops_act_2to4</t>
  </si>
  <si>
    <t>ss_gflops_act_2to8</t>
  </si>
  <si>
    <t>ss_gflops_act_2to16</t>
  </si>
  <si>
    <t>ss_gflops_act_2to32</t>
  </si>
  <si>
    <t>ss_gflops_act_MIXED</t>
  </si>
  <si>
    <t>ss_efficiency_pct_2to4</t>
  </si>
  <si>
    <t>ss_efficiency_pct_2to8</t>
  </si>
  <si>
    <t>ss_efficiency_pct_2to16</t>
  </si>
  <si>
    <t>ss_efficiency_pct_2to32</t>
  </si>
  <si>
    <t>ss_efficiency_pct_MIXED</t>
  </si>
  <si>
    <t>ss_effective_mhz_2to4</t>
  </si>
  <si>
    <t>ss_effective_mhz_2to8</t>
  </si>
  <si>
    <t>ss_effective_mhz_2to16</t>
  </si>
  <si>
    <t>ss_effective_mhz_2to32</t>
  </si>
  <si>
    <t>ss_effective_mhz_MIXED</t>
  </si>
  <si>
    <t>soak_energy_nJ_row_2to4</t>
  </si>
  <si>
    <t>soak_energy_nJ_row_2to8</t>
  </si>
  <si>
    <t>soak_energy_nJ_row_2to16</t>
  </si>
  <si>
    <t>soak_energy_nJ_row_2to32</t>
  </si>
  <si>
    <t>soak_energy_nJ_row_MIXED</t>
  </si>
  <si>
    <t>ss_gflops_per_W_2to4</t>
  </si>
  <si>
    <t>ss_gflops_per_W_2to8</t>
  </si>
  <si>
    <t>ss_gflops_per_W_2to16</t>
  </si>
  <si>
    <t>ss_gflops_per_W_2to32</t>
  </si>
  <si>
    <t>ss_gflops_per_W_MIXED</t>
  </si>
  <si>
    <t>soak_vccint_W_2to4</t>
  </si>
  <si>
    <t>soak_vccint_W_2to8</t>
  </si>
  <si>
    <t>soak_vccint_W_2to16</t>
  </si>
  <si>
    <t>soak_vccint_W_2to32</t>
  </si>
  <si>
    <t>soak_vccint_W_MIXED</t>
  </si>
  <si>
    <t>soak_core_dyn_W_2to4</t>
  </si>
  <si>
    <t>soak_core_dyn_W_2to8</t>
  </si>
  <si>
    <t>soak_core_dyn_W_2to16</t>
  </si>
  <si>
    <t>soak_core_dyn_W_2to32</t>
  </si>
  <si>
    <t>soak_core_dyn_W_MIXED</t>
  </si>
  <si>
    <t>avg3_mrow_s_2to4</t>
  </si>
  <si>
    <t>avg3_mrow_s_2to8</t>
  </si>
  <si>
    <t>avg3_mrow_s_2to16</t>
  </si>
  <si>
    <t>avg3_mrow_s_2to32</t>
  </si>
  <si>
    <t>avg3_mrow_s_MIXED</t>
  </si>
  <si>
    <t>avg3_gflops_eff_2to4</t>
  </si>
  <si>
    <t>avg3_gflops_eff_2to8</t>
  </si>
  <si>
    <t>avg3_gflops_eff_2to16</t>
  </si>
  <si>
    <t>avg3_gflops_eff_2to32</t>
  </si>
  <si>
    <t>avg3_gflops_eff_MIXED</t>
  </si>
  <si>
    <t>4x4 (T=16)</t>
  </si>
  <si>
    <t>8x4 (T=32)</t>
  </si>
  <si>
    <t>16x3 (T=48)</t>
  </si>
  <si>
    <t>8x8 (T=64)</t>
  </si>
  <si>
    <t>4x24 (T=96)</t>
  </si>
  <si>
    <t>4x32 (T=128)</t>
  </si>
  <si>
    <t>ss_gmac_act_per_pc_2to4</t>
  </si>
  <si>
    <t>ss_gmac_act_per_pc_2to8</t>
  </si>
  <si>
    <t>ss_gmac_act_per_pc_2to16</t>
  </si>
  <si>
    <t>ss_gmac_act_per_pc_2to32</t>
  </si>
  <si>
    <t>ss_gmac_act_per_pc_MIXED</t>
  </si>
  <si>
    <t>ss_gflops_act_per_W_2to4</t>
  </si>
  <si>
    <t>ss_gflops_act_per_W_2to8</t>
  </si>
  <si>
    <t>ss_gflops_act_per_W_2to16</t>
  </si>
  <si>
    <t>ss_gflops_act_per_W_2to32</t>
  </si>
  <si>
    <t>ss_gflops_act_per_W_MIXED</t>
  </si>
  <si>
    <t>ss_bandwidth_GBs_2to4</t>
  </si>
  <si>
    <t>ss_bandwidth_GBs_2to8</t>
  </si>
  <si>
    <t>ss_bandwidth_GBs_2to16</t>
  </si>
  <si>
    <t>ss_bandwidth_GBs_2to32</t>
  </si>
  <si>
    <t>ss_bandwidth_GBs_MIXED</t>
  </si>
  <si>
    <t>hbm_input_pcs</t>
  </si>
  <si>
    <t>bandwidth_ceiling_GBs</t>
  </si>
  <si>
    <t>gmac_per_pc_theory</t>
  </si>
  <si>
    <t>lut_util_pct</t>
  </si>
  <si>
    <t>ff_util_pct</t>
  </si>
  <si>
    <t>bram_util_pct</t>
  </si>
  <si>
    <t>dsp_util_pct</t>
  </si>
  <si>
    <t>hbm_channel_util_pct</t>
  </si>
  <si>
    <t>lut_used</t>
  </si>
  <si>
    <t>ff_used</t>
  </si>
  <si>
    <t>bram_used</t>
  </si>
  <si>
    <t>dsp_used</t>
  </si>
  <si>
    <t>hbm_channels_used</t>
  </si>
  <si>
    <t>lut_available</t>
  </si>
  <si>
    <t>ff_available</t>
  </si>
  <si>
    <t>bram_available</t>
  </si>
  <si>
    <t>dsp_available</t>
  </si>
  <si>
    <t>hbm_channels_available</t>
  </si>
  <si>
    <t>platform_lut</t>
  </si>
  <si>
    <t>kernels_lut</t>
  </si>
  <si>
    <t>engine_dsp</t>
  </si>
  <si>
    <t>latency_us_4x4</t>
  </si>
  <si>
    <t>latency_us_8x4</t>
  </si>
  <si>
    <t>latency_us_16x3</t>
  </si>
  <si>
    <t>latency_us_8x8</t>
  </si>
  <si>
    <t>latency_us_4x24</t>
  </si>
  <si>
    <t>latency_us_4x32</t>
  </si>
  <si>
    <t>padding_rows_4x4</t>
  </si>
  <si>
    <t>padding_rows_8x4</t>
  </si>
  <si>
    <t>padding_rows_16x3</t>
  </si>
  <si>
    <t>padding_rows_8x8</t>
  </si>
  <si>
    <t>padding_rows_4x24</t>
  </si>
  <si>
    <t>padding_rows_4x32</t>
  </si>
  <si>
    <t>shapes_&lt;tag&gt;_&lt;MHz&gt;_MIXED.csv latency_per_matrix_us, per-sweep overhead fit, each family at its own clock</t>
  </si>
  <si>
    <t>shape_group</t>
  </si>
  <si>
    <t>family_order</t>
  </si>
  <si>
    <t>padding_rows</t>
  </si>
  <si>
    <t>latency x the family's own MIXED 60 s soak (board load / idle)</t>
  </si>
  <si>
    <t>workload</t>
  </si>
  <si>
    <t>tenants_running</t>
  </si>
  <si>
    <t>slowdown_pct_t0</t>
  </si>
  <si>
    <t>slowdown_pct_t1</t>
  </si>
  <si>
    <t>slowdown_pct_t2</t>
  </si>
  <si>
    <t>slowdown_pct_t3</t>
  </si>
  <si>
    <t>interference_t0</t>
  </si>
  <si>
    <t>interference_t1</t>
  </si>
  <si>
    <t>interference_t2</t>
  </si>
  <si>
    <t>interference_t3</t>
  </si>
  <si>
    <t>active_overlap_pct</t>
  </si>
  <si>
    <t>alone_spread_pct_max</t>
  </si>
  <si>
    <t>workload_name</t>
  </si>
  <si>
    <t>tenants_n</t>
  </si>
  <si>
    <t>bitstream</t>
  </si>
  <si>
    <t>Mixed</t>
  </si>
  <si>
    <t>2 tenants</t>
  </si>
  <si>
    <t>active-span ratio vs the same tenant alone, mean of 3 reps</t>
  </si>
  <si>
    <t>3 tenants</t>
  </si>
  <si>
    <t>4 tenants</t>
  </si>
  <si>
    <t>All 2:32</t>
  </si>
  <si>
    <t>gmac_s_mixed</t>
  </si>
  <si>
    <t>gmac_s_all2to32</t>
  </si>
  <si>
    <t>gmac_s_linear_scaling</t>
  </si>
  <si>
    <t>gmac_s_peak</t>
  </si>
  <si>
    <t>scaling_x_mixed</t>
  </si>
  <si>
    <t>scaling_x_all2to32</t>
  </si>
  <si>
    <t>pct_of_peak_mixed</t>
  </si>
  <si>
    <t>pct_of_peak_all2to32</t>
  </si>
  <si>
    <t>1 tenant</t>
  </si>
  <si>
    <t>60 s power soak, host calculation counts x MACs per calculation</t>
  </si>
  <si>
    <t>static_nJ_per_MAC</t>
  </si>
  <si>
    <t>dynamic_nJ_per_MAC</t>
  </si>
  <si>
    <t>total_nJ_per_MAC</t>
  </si>
  <si>
    <t>gmac_s</t>
  </si>
  <si>
    <t>60 s power soak, host calculation counts x MACs per calculation; static = idle after the soak, dynamic = load - idle</t>
  </si>
  <si>
    <t>metric</t>
  </si>
  <si>
    <t>ratio_scaleout_over_scaleup</t>
  </si>
  <si>
    <t>scaleout_value</t>
  </si>
  <si>
    <t>scaleup_value</t>
  </si>
  <si>
    <t>unit</t>
  </si>
  <si>
    <t>scaleout</t>
  </si>
  <si>
    <t>scaleup</t>
  </si>
  <si>
    <t>basis</t>
  </si>
  <si>
    <t>channels</t>
  </si>
  <si>
    <t>4 x 4x4 tenants, sparse_4x4_x4_375.xclbin</t>
  </si>
  <si>
    <t>one 4x24 engine, family build</t>
  </si>
  <si>
    <t>the controlled variable: the same channel budget</t>
  </si>
  <si>
    <t>Kernel clock</t>
  </si>
  <si>
    <t>MHz</t>
  </si>
  <si>
    <t>runtime clock of each bitstream</t>
  </si>
  <si>
    <t>MACs per cycle</t>
  </si>
  <si>
    <t>MACs/cycle</t>
  </si>
  <si>
    <t>4 x 32 vs 96 blocks x 2 (DSPs 512 vs 768)</t>
  </si>
  <si>
    <t>Throughput</t>
  </si>
  <si>
    <t>GMAC/s</t>
  </si>
  <si>
    <t>steady state: x4 = MACs / (active span - 188 us fixed cost), all four tenants running; 4x24 = ss_gflops_act_MIXED / 2</t>
  </si>
  <si>
    <t>Board power</t>
  </si>
  <si>
    <t>W</t>
  </si>
  <si>
    <t>60 s MIXED soak, board load</t>
  </si>
  <si>
    <t>Energy per MAC</t>
  </si>
  <si>
    <t>nJ/MAC</t>
  </si>
  <si>
    <t>soak board power / steady-state GMAC/s (the family's per-W method)</t>
  </si>
  <si>
    <t>build_label</t>
  </si>
  <si>
    <t>idle_vccint_W</t>
  </si>
  <si>
    <t>idle_rest_W</t>
  </si>
  <si>
    <t>idle_board_W</t>
  </si>
  <si>
    <t>hbm_channels</t>
  </si>
  <si>
    <t>build</t>
  </si>
  <si>
    <t>kind</t>
  </si>
  <si>
    <t>uses_channel_16_up</t>
  </si>
  <si>
    <t>n_soaks</t>
  </si>
  <si>
    <t>source</t>
  </si>
  <si>
    <t>4x4 (6 ch)</t>
  </si>
  <si>
    <t>single engine</t>
  </si>
  <si>
    <t>results/family_measurements/4x4/power_4x4_400MHz.csv</t>
  </si>
  <si>
    <t>8x4 (10 ch)</t>
  </si>
  <si>
    <t>results/family_measurements/8x4/power_8x4_375MHz.csv</t>
  </si>
  <si>
    <t>multi-tenant</t>
  </si>
  <si>
    <t>16x3 (13 ch)</t>
  </si>
  <si>
    <t>results/family_measurements/16x3/power_16x3_350MHz.csv</t>
  </si>
  <si>
    <t>8x8 (17 ch)</t>
  </si>
  <si>
    <t>results/family_measurements/8x8/power_8x8_325MHz.csv</t>
  </si>
  <si>
    <t>4x24 (24 ch)</t>
  </si>
  <si>
    <t>results/family_measurements/4x24/power_4x24_300MHz.csv</t>
  </si>
  <si>
    <t>multi_x4_374MHz.csv, multi_x4_374MHz_all2to32.csv</t>
  </si>
  <si>
    <t>4x32 (32 ch)</t>
  </si>
  <si>
    <t>results/family_measurements/4x32/power_4x32_250MHz.csv</t>
  </si>
  <si>
    <t>slowdown_pct_t4</t>
  </si>
  <si>
    <t>interference_t4</t>
  </si>
  <si>
    <t>sparse_4x4_x5_375_split.xclbin</t>
  </si>
  <si>
    <t>5 tenants</t>
  </si>
  <si>
    <t>multi_x5_329MHz.csv, multi_x5_329MHz_all2to32.csv</t>
  </si>
  <si>
    <t>2 x 4x4 (12 ch)</t>
  </si>
  <si>
    <t>4x4_x2</t>
  </si>
  <si>
    <t>4 x 4x4 (24 ch)</t>
  </si>
  <si>
    <t>4x4_x4</t>
  </si>
  <si>
    <t>2 x 16x3 (26 ch)</t>
  </si>
  <si>
    <t>16x3_x2</t>
  </si>
  <si>
    <t>5 x 4x4 (30 ch)</t>
  </si>
  <si>
    <t>4x4_x5</t>
  </si>
  <si>
    <t>3 x 8x4 (30 ch)</t>
  </si>
  <si>
    <t>8x4_x3</t>
  </si>
  <si>
    <t>multi_8x4_x3_354MHz.csv, multi_8x4_x3_354MHz_all2to32.csv</t>
  </si>
  <si>
    <t>config_label</t>
  </si>
  <si>
    <t>gmac_s_single</t>
  </si>
  <si>
    <t>gmac_s_multi</t>
  </si>
  <si>
    <t>static_nJ_per_MAC_single</t>
  </si>
  <si>
    <t>dynamic_nJ_per_MAC_single</t>
  </si>
  <si>
    <t>static_nJ_per_MAC_multi</t>
  </si>
  <si>
    <t>dynamic_nJ_per_MAC_multi</t>
  </si>
  <si>
    <t>clock_mhz_single</t>
  </si>
  <si>
    <t>clock_mhz_multi</t>
  </si>
  <si>
    <t>gmac_s_per_channel_single</t>
  </si>
  <si>
    <t>gmac_s_per_channel_multi</t>
  </si>
  <si>
    <t>configuration</t>
  </si>
  <si>
    <t>engine_shape</t>
  </si>
  <si>
    <t>tenants</t>
  </si>
  <si>
    <t>lanes_total</t>
  </si>
  <si>
    <t>pct_of_peak</t>
  </si>
  <si>
    <t>gmac_s_per_channel</t>
  </si>
  <si>
    <t>energy_total_nJ_per_MAC</t>
  </si>
  <si>
    <t>status</t>
  </si>
  <si>
    <t>one 4x4 engine</t>
  </si>
  <si>
    <t>GEMV_Family_Measured.csv, family_measurements/4x4/power_4x4_400MHz.csv</t>
  </si>
  <si>
    <t>steady state: ss_gflops_act_MIXED / 2; energy = MIXED soak power / that</t>
  </si>
  <si>
    <t>one 8x4 engine</t>
  </si>
  <si>
    <t>GEMV_Family_Measured.csv, family_measurements/8x4/power_8x4_375MHz.csv</t>
  </si>
  <si>
    <t>2 x 4x4 tenants</t>
  </si>
  <si>
    <t>steady state: sum over tenants of MACs / (active span - a), all tenants running; energy = full-set MIXED soak power / that</t>
  </si>
  <si>
    <t>one 16x3 engine</t>
  </si>
  <si>
    <t>GEMV_Family_Measured.csv, family_measurements/16x3/power_16x3_350MHz.csv</t>
  </si>
  <si>
    <t>one 8x8 engine</t>
  </si>
  <si>
    <t>GEMV_Family_Measured.csv, family_measurements/8x8/power_8x8_325MHz.csv</t>
  </si>
  <si>
    <t>one 4x24 engine</t>
  </si>
  <si>
    <t>GEMV_Family_Measured.csv, family_measurements/4x24/power_4x24_300MHz.csv</t>
  </si>
  <si>
    <t>4 x 4x4 tenants</t>
  </si>
  <si>
    <t>multi_x4_374MHz.csv (sparse_4x4_x4_375.xclbin)</t>
  </si>
  <si>
    <t>2 x 16x3 tenants</t>
  </si>
  <si>
    <t>5 x 4x4 tenants</t>
  </si>
  <si>
    <t>multi_x5_329MHz.csv (sparse_4x4_x5_375_split.xclbin)</t>
  </si>
  <si>
    <t>3 x 8x4 tenants</t>
  </si>
  <si>
    <t>multi_8x4_x3_354MHz.csv (sparse_8x4_x3_375.xclbin)</t>
  </si>
  <si>
    <t>one 4x32 engine</t>
  </si>
  <si>
    <t>GEMV_Family_Measured.csv, family_measurements/4x32/power_4x32_250MHz.csv</t>
  </si>
  <si>
    <t>multi_x2_394MHz.csv (sparse_4x4_x2_400.xclbin)</t>
  </si>
  <si>
    <t>3 x 4x4 (18 ch)</t>
  </si>
  <si>
    <t>3 x 4x4 tenants</t>
  </si>
  <si>
    <t>multi_x3_399MHz.csv (sparse_4x4_x3_400.xclbin)</t>
  </si>
  <si>
    <t>2 x 8x4 (20 ch)</t>
  </si>
  <si>
    <t>2 x 8x4 tenants</t>
  </si>
  <si>
    <t>multi_8x4_x2_361MHz.csv (sparse_8x4_x2_375.xclbin)</t>
  </si>
  <si>
    <t>multi_16x3_x2_341MHz.csv (sparse_16x3_x2_375.xclbin)</t>
  </si>
  <si>
    <t>multi_x2_394MHz.csv, multi_x2_394MHz_all2to32.csv</t>
  </si>
  <si>
    <t>4x4_x3</t>
  </si>
  <si>
    <t>multi_x3_399MHz.csv, multi_x3_399MHz_all2to32.csv</t>
  </si>
  <si>
    <t>8x4_x2</t>
  </si>
  <si>
    <t>multi_8x4_x2_361MHz.csv, multi_8x4_x2_361MHz_all2to32.csv</t>
  </si>
  <si>
    <t>multi_16x3_x2_341MHz.csv, multi_16x3_x2_341MHz_all2to32.csv</t>
  </si>
  <si>
    <t>engine_ms_single</t>
  </si>
  <si>
    <t>overhead_ms_single</t>
  </si>
  <si>
    <t>engine_ms_multi</t>
  </si>
  <si>
    <t>overhead_ms_multi</t>
  </si>
  <si>
    <t>static_mJ_single</t>
  </si>
  <si>
    <t>dynamic_mJ_single</t>
  </si>
  <si>
    <t>static_mJ_multi</t>
  </si>
  <si>
    <t>dynamic_mJ_multi</t>
  </si>
  <si>
    <t>wall_gmac_s_single</t>
  </si>
  <si>
    <t>wall_gmac_s_multi</t>
  </si>
  <si>
    <t>engine_gmac_s_single</t>
  </si>
  <si>
    <t>engine_gmac_s_multi</t>
  </si>
  <si>
    <t>nj_per_mac_single</t>
  </si>
  <si>
    <t>nj_per_mac_multi</t>
  </si>
  <si>
    <t>matrices</t>
  </si>
  <si>
    <t>useful_macs</t>
  </si>
  <si>
    <t>padded_macs</t>
  </si>
  <si>
    <t>padding_pct</t>
  </si>
  <si>
    <t>calcs_per_tenant</t>
  </si>
  <si>
    <t>efficiency_pct</t>
  </si>
  <si>
    <t>predicted_us</t>
  </si>
  <si>
    <t>engine_us</t>
  </si>
  <si>
    <t>active_sum_us</t>
  </si>
  <si>
    <t>wall_pass_us</t>
  </si>
  <si>
    <t>overhead_us</t>
  </si>
  <si>
    <t>overhead_pct</t>
  </si>
  <si>
    <t>wall_gmac_s</t>
  </si>
  <si>
    <t>engine_gmac_s</t>
  </si>
  <si>
    <t>dynamic_W</t>
  </si>
  <si>
    <t>energy_pass_mJ</t>
  </si>
  <si>
    <t>static_mJ</t>
  </si>
  <si>
    <t>dynamic_mJ</t>
  </si>
  <si>
    <t>nj_per_mac_wall</t>
  </si>
  <si>
    <t>fullrate_load_W</t>
  </si>
  <si>
    <t>nj_per_mac_launch_free</t>
  </si>
  <si>
    <t>finish_balance</t>
  </si>
  <si>
    <t>balance_planned</t>
  </si>
  <si>
    <t>timed_passes</t>
  </si>
  <si>
    <t>soak_passes</t>
  </si>
  <si>
    <t>soak_s</t>
  </si>
  <si>
    <t>7</t>
  </si>
  <si>
    <t>workload/workload_4x4_400MHz.csv</t>
  </si>
  <si>
    <t>wall time, energy: measured (60 s soak of whole passes, board power); engine time: plan cycles / clock / measured steady-state efficiency (Configurations pct_of_peak); overhead = wall - engine</t>
  </si>
  <si>
    <t>workload/workload_8x4_375MHz.csv</t>
  </si>
  <si>
    <t>7/7</t>
  </si>
  <si>
    <t>workload/workload_2x4x4_394MHz.csv</t>
  </si>
  <si>
    <t>workload/workload_16x3_350MHz.csv</t>
  </si>
  <si>
    <t>workload/workload_8x8_325MHz.csv</t>
  </si>
  <si>
    <t>7/7/7</t>
  </si>
  <si>
    <t>workload/workload_3x4x4_399MHz.csv</t>
  </si>
  <si>
    <t>workload/workload_2x8x4_361MHz.csv</t>
  </si>
  <si>
    <t>workload/workload_4x24_300MHz.csv</t>
  </si>
  <si>
    <t>7/7/7/7</t>
  </si>
  <si>
    <t>workload/workload_4x4x4_374MHz.csv</t>
  </si>
  <si>
    <t>workload/workload_2x16x3_341MHz.csv</t>
  </si>
  <si>
    <t>7/7/7/7/7</t>
  </si>
  <si>
    <t>workload/workload_5x4x4_329MHz.csv</t>
  </si>
  <si>
    <t>workload/workload_3x8x4_354MHz.csv</t>
  </si>
  <si>
    <t>workload/workload_4x32_250MHz.csv</t>
  </si>
  <si>
    <t>Best configuration for each workload chart (1st, 2nd, 3rd place)</t>
  </si>
  <si>
    <t>Chart</t>
  </si>
  <si>
    <t>Best is</t>
  </si>
  <si>
    <t>1st place</t>
  </si>
  <si>
    <t>Value</t>
  </si>
  <si>
    <t>2nd place</t>
  </si>
  <si>
    <t>3rd place</t>
  </si>
  <si>
    <t>Time per pass (ms)</t>
  </si>
  <si>
    <t>Lower</t>
  </si>
  <si>
    <t>Energy per pass (mJ)</t>
  </si>
  <si>
    <t>Throughput (GMAC/s)</t>
  </si>
  <si>
    <t>Higher</t>
  </si>
  <si>
    <t>Energy per MAC (nJ)</t>
  </si>
  <si>
    <t>Time and throughput share one ranking, and so do the two energy charts: every build ran the same 195.6 M MACs.</t>
  </si>
  <si>
    <t>3rd place in energy is a tie within measurement noise: 2 x 16x3 (260.34 mJ) vs 16x3 (260.46 mJ).</t>
  </si>
  <si>
    <t>engines</t>
  </si>
  <si>
    <t>weights_ch</t>
  </si>
  <si>
    <t>indices_ch</t>
  </si>
  <si>
    <t>activation_ch</t>
  </si>
  <si>
    <t>output_ch</t>
  </si>
  <si>
    <t>total_ch</t>
  </si>
  <si>
    <t>unused_ch</t>
  </si>
  <si>
    <t>uses_second_stack</t>
  </si>
  <si>
    <t>saved_by_sharing</t>
  </si>
  <si>
    <t>shared_twin_of</t>
  </si>
  <si>
    <t>build_dsp</t>
  </si>
  <si>
    <t>dsp_pct</t>
  </si>
  <si>
    <t>dsp_source</t>
  </si>
  <si>
    <t>measured (routed utilization report)</t>
  </si>
  <si>
    <t>built and measured</t>
  </si>
  <si>
    <t>multi-tenant, own vector channels</t>
  </si>
  <si>
    <t>3 x 4x4 shared (14 ch)</t>
  </si>
  <si>
    <t>multi-tenant, shared vector channels</t>
  </si>
  <si>
    <t>formula: 8 per lane x lanes + 4 platform (not built yet)</t>
  </si>
  <si>
    <t>to build</t>
  </si>
  <si>
    <t>6 x 4x4 shared (26 ch)</t>
  </si>
  <si>
    <t>7 x 4x4 shared (30 ch)</t>
  </si>
  <si>
    <t>3 x 8x4 shared (26 ch)</t>
  </si>
  <si>
    <t>2 x 16x3 shared (24 ch)</t>
  </si>
  <si>
    <t>2 x 8x8 shared (32 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</si>
</sst>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2" fillId="0" borderId="0" xfId="0" applyNumberFormat="1" applyFont="1"/>
    <xf numFmtId="49" fontId="0" fillId="0" borderId="0" xfId="0" applyNumberFormat="1"/>
    <xf numFmtId="0" fontId="8" fillId="0" borderId="0" xfId="0" applyFont="1"/>
    <xf numFmtId="0" fontId="0" fillId="0" borderId="2" xfId="0" applyBorder="1"/>
    <xf numFmtId="2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9" fillId="3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Compute and channel scaling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Data'!$EW$1</c:f>
              <c:strCache>
                <c:ptCount val="1"/>
                <c:pt idx="0">
                  <c:v>DSPs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Data'!$EV$2:$EV$7</c:f>
              <c:strCache>
                <c:ptCount val="6"/>
                <c:pt idx="0">
                  <c:v>T=16</c:v>
                </c:pt>
                <c:pt idx="1">
                  <c:v>T=32</c:v>
                </c:pt>
                <c:pt idx="2">
                  <c:v>T=48</c:v>
                </c:pt>
                <c:pt idx="3">
                  <c:v>T=64</c:v>
                </c:pt>
                <c:pt idx="4">
                  <c:v>T=96</c:v>
                </c:pt>
                <c:pt idx="5">
                  <c:v>T=128</c:v>
                </c:pt>
              </c:strCache>
            </c:strRef>
          </c:cat>
          <c:val>
            <c:numRef>
              <c:f>'Chart Data'!$EW$2:$EW$7</c:f>
              <c:numCache>
                <c:formatCode>General</c:formatCode>
                <c:ptCount val="6"/>
                <c:pt idx="0">
                  <c:v>128</c:v>
                </c:pt>
                <c:pt idx="1">
                  <c:v>256</c:v>
                </c:pt>
                <c:pt idx="2">
                  <c:v>384</c:v>
                </c:pt>
                <c:pt idx="3">
                  <c:v>512</c:v>
                </c:pt>
                <c:pt idx="4">
                  <c:v>768</c:v>
                </c:pt>
                <c:pt idx="5">
                  <c:v>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8-4025-A7F1-DC5F3A455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670399"/>
        <c:axId val="1168685039"/>
      </c:barChart>
      <c:lineChart>
        <c:grouping val="standard"/>
        <c:varyColors val="0"/>
        <c:ser>
          <c:idx val="1"/>
          <c:order val="1"/>
          <c:tx>
            <c:strRef>
              <c:f>'Chart Data'!$EX$1</c:f>
              <c:strCache>
                <c:ptCount val="1"/>
                <c:pt idx="0">
                  <c:v>HBM channels</c:v>
                </c:pt>
              </c:strCache>
            </c:strRef>
          </c:tx>
          <c:spPr>
            <a:ln w="28575" cap="rnd">
              <a:solidFill>
                <a:srgbClr val="E8762C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E8762C"/>
              </a:solidFill>
              <a:ln w="9525">
                <a:solidFill>
                  <a:srgbClr val="E8762C"/>
                </a:solidFill>
                <a:prstDash val="solid"/>
              </a:ln>
              <a:effectLst/>
            </c:spPr>
          </c:marker>
          <c:cat>
            <c:strRef>
              <c:f>'Chart Data'!$EV$2:$EV$7</c:f>
              <c:strCache>
                <c:ptCount val="6"/>
                <c:pt idx="0">
                  <c:v>T=16</c:v>
                </c:pt>
                <c:pt idx="1">
                  <c:v>T=32</c:v>
                </c:pt>
                <c:pt idx="2">
                  <c:v>T=48</c:v>
                </c:pt>
                <c:pt idx="3">
                  <c:v>T=64</c:v>
                </c:pt>
                <c:pt idx="4">
                  <c:v>T=96</c:v>
                </c:pt>
                <c:pt idx="5">
                  <c:v>T=128</c:v>
                </c:pt>
              </c:strCache>
            </c:strRef>
          </c:cat>
          <c:val>
            <c:numRef>
              <c:f>'Chart Data'!$EX$2:$EX$7</c:f>
              <c:numCache>
                <c:formatCode>General</c:formatCode>
                <c:ptCount val="6"/>
                <c:pt idx="0">
                  <c:v>6</c:v>
                </c:pt>
                <c:pt idx="1">
                  <c:v>10</c:v>
                </c:pt>
                <c:pt idx="2">
                  <c:v>13</c:v>
                </c:pt>
                <c:pt idx="3">
                  <c:v>17</c:v>
                </c:pt>
                <c:pt idx="4">
                  <c:v>24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F8-4025-A7F1-DC5F3A455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141775"/>
        <c:axId val="1168707599"/>
      </c:lineChart>
      <c:catAx>
        <c:axId val="123867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Block-count family (T = CORES ×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168685039"/>
        <c:crosses val="autoZero"/>
        <c:auto val="1"/>
        <c:lblAlgn val="ctr"/>
        <c:lblOffset val="100"/>
        <c:noMultiLvlLbl val="0"/>
      </c:catAx>
      <c:valAx>
        <c:axId val="1168685039"/>
        <c:scaling>
          <c:orientation val="minMax"/>
          <c:max val="1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38670399"/>
        <c:crosses val="autoZero"/>
        <c:crossBetween val="between"/>
      </c:valAx>
      <c:valAx>
        <c:axId val="1168707599"/>
        <c:scaling>
          <c:orientation val="minMax"/>
          <c:max val="3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HBM pseudo-channels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34141775"/>
        <c:crosses val="max"/>
        <c:crossBetween val="between"/>
      </c:valAx>
      <c:catAx>
        <c:axId val="1234141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8707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Throughput per HBM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Data'!$FA$1</c:f>
              <c:strCache>
                <c:ptCount val="1"/>
                <c:pt idx="0">
                  <c:v>GMAC/s per channel</c:v>
                </c:pt>
              </c:strCache>
            </c:strRef>
          </c:tx>
          <c:spPr>
            <a:ln w="2857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cat>
            <c:strRef>
              <c:f>'Chart Data'!$EZ$2:$EZ$7</c:f>
              <c:strCache>
                <c:ptCount val="6"/>
                <c:pt idx="0">
                  <c:v>T=16</c:v>
                </c:pt>
                <c:pt idx="1">
                  <c:v>T=32</c:v>
                </c:pt>
                <c:pt idx="2">
                  <c:v>T=48</c:v>
                </c:pt>
                <c:pt idx="3">
                  <c:v>T=64</c:v>
                </c:pt>
                <c:pt idx="4">
                  <c:v>T=96</c:v>
                </c:pt>
                <c:pt idx="5">
                  <c:v>T=128</c:v>
                </c:pt>
              </c:strCache>
            </c:strRef>
          </c:cat>
          <c:val>
            <c:numRef>
              <c:f>'Chart Data'!$FA$2:$FA$7</c:f>
              <c:numCache>
                <c:formatCode>General</c:formatCode>
                <c:ptCount val="6"/>
                <c:pt idx="0">
                  <c:v>3.3</c:v>
                </c:pt>
                <c:pt idx="1">
                  <c:v>3.58</c:v>
                </c:pt>
                <c:pt idx="2">
                  <c:v>3.71</c:v>
                </c:pt>
                <c:pt idx="3">
                  <c:v>3.38</c:v>
                </c:pt>
                <c:pt idx="4">
                  <c:v>3.26</c:v>
                </c:pt>
                <c:pt idx="5">
                  <c:v>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0-4023-8838-D81DA4E5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522495"/>
        <c:axId val="1168686959"/>
      </c:lineChart>
      <c:lineChart>
        <c:grouping val="standard"/>
        <c:varyColors val="0"/>
        <c:ser>
          <c:idx val="1"/>
          <c:order val="1"/>
          <c:tx>
            <c:strRef>
              <c:f>'Chart Data'!$FB$1</c:f>
              <c:strCache>
                <c:ptCount val="1"/>
                <c:pt idx="0">
                  <c:v>Fmax (MHz)</c:v>
                </c:pt>
              </c:strCache>
            </c:strRef>
          </c:tx>
          <c:spPr>
            <a:ln w="28575" cap="rnd">
              <a:solidFill>
                <a:srgbClr val="E8762C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E8762C"/>
              </a:solidFill>
              <a:ln w="9525">
                <a:solidFill>
                  <a:srgbClr val="E8762C"/>
                </a:solidFill>
                <a:prstDash val="solid"/>
              </a:ln>
              <a:effectLst/>
            </c:spPr>
          </c:marker>
          <c:cat>
            <c:strRef>
              <c:f>'Chart Data'!$EZ$2:$EZ$7</c:f>
              <c:strCache>
                <c:ptCount val="6"/>
                <c:pt idx="0">
                  <c:v>T=16</c:v>
                </c:pt>
                <c:pt idx="1">
                  <c:v>T=32</c:v>
                </c:pt>
                <c:pt idx="2">
                  <c:v>T=48</c:v>
                </c:pt>
                <c:pt idx="3">
                  <c:v>T=64</c:v>
                </c:pt>
                <c:pt idx="4">
                  <c:v>T=96</c:v>
                </c:pt>
                <c:pt idx="5">
                  <c:v>T=128</c:v>
                </c:pt>
              </c:strCache>
            </c:strRef>
          </c:cat>
          <c:val>
            <c:numRef>
              <c:f>'Chart Data'!$FB$2:$FB$7</c:f>
              <c:numCache>
                <c:formatCode>General</c:formatCode>
                <c:ptCount val="6"/>
                <c:pt idx="0">
                  <c:v>619.6</c:v>
                </c:pt>
                <c:pt idx="1">
                  <c:v>559.9</c:v>
                </c:pt>
                <c:pt idx="2">
                  <c:v>501.8</c:v>
                </c:pt>
                <c:pt idx="3">
                  <c:v>448.6</c:v>
                </c:pt>
                <c:pt idx="4">
                  <c:v>407.3</c:v>
                </c:pt>
                <c:pt idx="5">
                  <c:v>355.4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0-4023-8838-D81DA4E5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615183"/>
        <c:axId val="1168742639"/>
      </c:lineChart>
      <c:catAx>
        <c:axId val="1165522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Block-count family (T = CORES ×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168686959"/>
        <c:crosses val="autoZero"/>
        <c:auto val="1"/>
        <c:lblAlgn val="ctr"/>
        <c:lblOffset val="100"/>
        <c:noMultiLvlLbl val="0"/>
      </c:catAx>
      <c:valAx>
        <c:axId val="1168686959"/>
        <c:scaling>
          <c:orientation val="minMax"/>
          <c:max val="4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GMAC/s per HBM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165522495"/>
        <c:crosses val="autoZero"/>
        <c:crossBetween val="between"/>
      </c:valAx>
      <c:valAx>
        <c:axId val="1168742639"/>
        <c:scaling>
          <c:orientation val="minMax"/>
          <c:max val="650"/>
          <c:min val="3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Fmax (MHz)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38615183"/>
        <c:crosses val="max"/>
        <c:crossBetween val="between"/>
      </c:valAx>
      <c:catAx>
        <c:axId val="1238615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68742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Achievable frequency by core count, per family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Data'!$ER$1</c:f>
              <c:strCache>
                <c:ptCount val="1"/>
                <c:pt idx="0">
                  <c:v>4 cores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'Chart Data'!$EQ$2:$EQ$7</c:f>
              <c:strCache>
                <c:ptCount val="6"/>
                <c:pt idx="0">
                  <c:v>T=16</c:v>
                </c:pt>
                <c:pt idx="1">
                  <c:v>T=32</c:v>
                </c:pt>
                <c:pt idx="2">
                  <c:v>T=48</c:v>
                </c:pt>
                <c:pt idx="3">
                  <c:v>T=64</c:v>
                </c:pt>
                <c:pt idx="4">
                  <c:v>T=96</c:v>
                </c:pt>
                <c:pt idx="5">
                  <c:v>T=128</c:v>
                </c:pt>
              </c:strCache>
            </c:strRef>
          </c:cat>
          <c:val>
            <c:numRef>
              <c:f>'Chart Data'!$ER$2:$ER$7</c:f>
              <c:numCache>
                <c:formatCode>General</c:formatCode>
                <c:ptCount val="6"/>
                <c:pt idx="0">
                  <c:v>619.6</c:v>
                </c:pt>
                <c:pt idx="1">
                  <c:v>483.8</c:v>
                </c:pt>
                <c:pt idx="2">
                  <c:v>485.7</c:v>
                </c:pt>
                <c:pt idx="3">
                  <c:v>448.2</c:v>
                </c:pt>
                <c:pt idx="4">
                  <c:v>407.3</c:v>
                </c:pt>
                <c:pt idx="5">
                  <c:v>355.4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D-4947-8B29-518F26B71928}"/>
            </c:ext>
          </c:extLst>
        </c:ser>
        <c:ser>
          <c:idx val="1"/>
          <c:order val="1"/>
          <c:tx>
            <c:strRef>
              <c:f>'Chart Data'!$ES$1</c:f>
              <c:strCache>
                <c:ptCount val="1"/>
                <c:pt idx="0">
                  <c:v>8 cores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'Chart Data'!$EQ$2:$EQ$7</c:f>
              <c:strCache>
                <c:ptCount val="6"/>
                <c:pt idx="0">
                  <c:v>T=16</c:v>
                </c:pt>
                <c:pt idx="1">
                  <c:v>T=32</c:v>
                </c:pt>
                <c:pt idx="2">
                  <c:v>T=48</c:v>
                </c:pt>
                <c:pt idx="3">
                  <c:v>T=64</c:v>
                </c:pt>
                <c:pt idx="4">
                  <c:v>T=96</c:v>
                </c:pt>
                <c:pt idx="5">
                  <c:v>T=128</c:v>
                </c:pt>
              </c:strCache>
            </c:strRef>
          </c:cat>
          <c:val>
            <c:numRef>
              <c:f>'Chart Data'!$ES$2:$ES$7</c:f>
              <c:numCache>
                <c:formatCode>General</c:formatCode>
                <c:ptCount val="6"/>
                <c:pt idx="0">
                  <c:v>586.9</c:v>
                </c:pt>
                <c:pt idx="1">
                  <c:v>559.9</c:v>
                </c:pt>
                <c:pt idx="2">
                  <c:v>464.5</c:v>
                </c:pt>
                <c:pt idx="3">
                  <c:v>448.6</c:v>
                </c:pt>
                <c:pt idx="4">
                  <c:v>358.3</c:v>
                </c:pt>
                <c:pt idx="5">
                  <c:v>345.2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D-4947-8B29-518F26B71928}"/>
            </c:ext>
          </c:extLst>
        </c:ser>
        <c:ser>
          <c:idx val="2"/>
          <c:order val="2"/>
          <c:tx>
            <c:strRef>
              <c:f>'Chart Data'!$ET$1</c:f>
              <c:strCache>
                <c:ptCount val="1"/>
                <c:pt idx="0">
                  <c:v>16 cores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Data'!$EQ$2:$EQ$7</c:f>
              <c:strCache>
                <c:ptCount val="6"/>
                <c:pt idx="0">
                  <c:v>T=16</c:v>
                </c:pt>
                <c:pt idx="1">
                  <c:v>T=32</c:v>
                </c:pt>
                <c:pt idx="2">
                  <c:v>T=48</c:v>
                </c:pt>
                <c:pt idx="3">
                  <c:v>T=64</c:v>
                </c:pt>
                <c:pt idx="4">
                  <c:v>T=96</c:v>
                </c:pt>
                <c:pt idx="5">
                  <c:v>T=128</c:v>
                </c:pt>
              </c:strCache>
            </c:strRef>
          </c:cat>
          <c:val>
            <c:numRef>
              <c:f>'Chart Data'!$ET$2:$ET$7</c:f>
              <c:numCache>
                <c:formatCode>General</c:formatCode>
                <c:ptCount val="6"/>
                <c:pt idx="0">
                  <c:v>541.1</c:v>
                </c:pt>
                <c:pt idx="1">
                  <c:v>497.3</c:v>
                </c:pt>
                <c:pt idx="2">
                  <c:v>501.8</c:v>
                </c:pt>
                <c:pt idx="3">
                  <c:v>384.3</c:v>
                </c:pt>
                <c:pt idx="4">
                  <c:v>378.1</c:v>
                </c:pt>
                <c:pt idx="5">
                  <c:v>352.2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AD-4947-8B29-518F26B71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235695"/>
        <c:axId val="1168725359"/>
      </c:barChart>
      <c:catAx>
        <c:axId val="118423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Family (total MAC lanes)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168725359"/>
        <c:crosses val="autoZero"/>
        <c:auto val="1"/>
        <c:lblAlgn val="ctr"/>
        <c:lblOffset val="100"/>
        <c:noMultiLvlLbl val="0"/>
      </c:catAx>
      <c:valAx>
        <c:axId val="1168725359"/>
        <c:scaling>
          <c:orientation val="minMax"/>
          <c:max val="65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Fmax (MHz)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18423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Achievable frequency vs core/block partitioning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Data'!$EJ$1</c:f>
              <c:strCache>
                <c:ptCount val="1"/>
                <c:pt idx="0">
                  <c:v>Fmax (MHz)</c:v>
                </c:pt>
              </c:strCache>
            </c:strRef>
          </c:tx>
          <c:spPr>
            <a:ln w="2857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1F4E79"/>
              </a:solidFill>
              <a:ln w="9525">
                <a:solidFill>
                  <a:srgbClr val="1F4E79"/>
                </a:solidFill>
                <a:prstDash val="solid"/>
              </a:ln>
              <a:effectLst/>
            </c:spPr>
          </c:marker>
          <c:dPt>
            <c:idx val="3"/>
            <c:marker>
              <c:symbol val="circle"/>
              <c:size val="12"/>
              <c:spPr>
                <a:solidFill>
                  <a:srgbClr val="C00000"/>
                </a:solidFill>
                <a:ln w="9525">
                  <a:solidFill>
                    <a:srgbClr val="C0000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6DB-44F7-AA97-16550A19A690}"/>
              </c:ext>
            </c:extLst>
          </c:dPt>
          <c:dLbls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443.5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6DB-44F7-AA97-16550A19A6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Data'!$EI$2:$EI$8</c:f>
              <c:strCache>
                <c:ptCount val="7"/>
                <c:pt idx="0">
                  <c:v>1x64</c:v>
                </c:pt>
                <c:pt idx="1">
                  <c:v>2x32</c:v>
                </c:pt>
                <c:pt idx="2">
                  <c:v>4x16</c:v>
                </c:pt>
                <c:pt idx="3">
                  <c:v>8x8</c:v>
                </c:pt>
                <c:pt idx="4">
                  <c:v>16x4</c:v>
                </c:pt>
                <c:pt idx="5">
                  <c:v>32x2</c:v>
                </c:pt>
                <c:pt idx="6">
                  <c:v>64x1</c:v>
                </c:pt>
              </c:strCache>
            </c:strRef>
          </c:cat>
          <c:val>
            <c:numRef>
              <c:f>'Chart Data'!$EJ$2:$EJ$8</c:f>
              <c:numCache>
                <c:formatCode>General</c:formatCode>
                <c:ptCount val="7"/>
                <c:pt idx="0">
                  <c:v>417.9</c:v>
                </c:pt>
                <c:pt idx="1">
                  <c:v>434.8</c:v>
                </c:pt>
                <c:pt idx="2">
                  <c:v>410.2</c:v>
                </c:pt>
                <c:pt idx="3">
                  <c:v>443.5</c:v>
                </c:pt>
                <c:pt idx="4">
                  <c:v>417.5</c:v>
                </c:pt>
                <c:pt idx="5">
                  <c:v>397.6</c:v>
                </c:pt>
                <c:pt idx="6">
                  <c:v>376.9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B-44F7-AA97-16550A19A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284671"/>
        <c:axId val="616221967"/>
      </c:lineChart>
      <c:catAx>
        <c:axId val="63328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 × BLOCKS (=64)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616221967"/>
        <c:crosses val="autoZero"/>
        <c:auto val="1"/>
        <c:lblAlgn val="ctr"/>
        <c:lblOffset val="100"/>
        <c:noMultiLvlLbl val="0"/>
      </c:catAx>
      <c:valAx>
        <c:axId val="616221967"/>
        <c:scaling>
          <c:orientation val="minMax"/>
          <c:max val="460"/>
          <c:min val="3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Fmax (MHz)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63328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Area cost of partitioning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Data'!$EM$1</c:f>
              <c:strCache>
                <c:ptCount val="1"/>
                <c:pt idx="0">
                  <c:v>LUT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'Chart Data'!$EL$2:$EL$8</c:f>
              <c:strCache>
                <c:ptCount val="7"/>
                <c:pt idx="0">
                  <c:v>1x64</c:v>
                </c:pt>
                <c:pt idx="1">
                  <c:v>2x32</c:v>
                </c:pt>
                <c:pt idx="2">
                  <c:v>4x16</c:v>
                </c:pt>
                <c:pt idx="3">
                  <c:v>8x8</c:v>
                </c:pt>
                <c:pt idx="4">
                  <c:v>16x4</c:v>
                </c:pt>
                <c:pt idx="5">
                  <c:v>32x2</c:v>
                </c:pt>
                <c:pt idx="6">
                  <c:v>64x1</c:v>
                </c:pt>
              </c:strCache>
            </c:strRef>
          </c:cat>
          <c:val>
            <c:numRef>
              <c:f>'Chart Data'!$EM$2:$EM$8</c:f>
              <c:numCache>
                <c:formatCode>General</c:formatCode>
                <c:ptCount val="7"/>
                <c:pt idx="0">
                  <c:v>71557</c:v>
                </c:pt>
                <c:pt idx="1">
                  <c:v>72083</c:v>
                </c:pt>
                <c:pt idx="2">
                  <c:v>73137</c:v>
                </c:pt>
                <c:pt idx="3">
                  <c:v>75168</c:v>
                </c:pt>
                <c:pt idx="4">
                  <c:v>79303</c:v>
                </c:pt>
                <c:pt idx="5">
                  <c:v>87643</c:v>
                </c:pt>
                <c:pt idx="6">
                  <c:v>104041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4-4408-B262-9402F71FACB7}"/>
            </c:ext>
          </c:extLst>
        </c:ser>
        <c:ser>
          <c:idx val="1"/>
          <c:order val="1"/>
          <c:tx>
            <c:strRef>
              <c:f>'Chart Data'!$EN$1</c:f>
              <c:strCache>
                <c:ptCount val="1"/>
                <c:pt idx="0">
                  <c:v>FF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Data'!$EL$2:$EL$8</c:f>
              <c:strCache>
                <c:ptCount val="7"/>
                <c:pt idx="0">
                  <c:v>1x64</c:v>
                </c:pt>
                <c:pt idx="1">
                  <c:v>2x32</c:v>
                </c:pt>
                <c:pt idx="2">
                  <c:v>4x16</c:v>
                </c:pt>
                <c:pt idx="3">
                  <c:v>8x8</c:v>
                </c:pt>
                <c:pt idx="4">
                  <c:v>16x4</c:v>
                </c:pt>
                <c:pt idx="5">
                  <c:v>32x2</c:v>
                </c:pt>
                <c:pt idx="6">
                  <c:v>64x1</c:v>
                </c:pt>
              </c:strCache>
            </c:strRef>
          </c:cat>
          <c:val>
            <c:numRef>
              <c:f>'Chart Data'!$EN$2:$EN$8</c:f>
              <c:numCache>
                <c:formatCode>General</c:formatCode>
                <c:ptCount val="7"/>
                <c:pt idx="0">
                  <c:v>83643</c:v>
                </c:pt>
                <c:pt idx="1">
                  <c:v>84163</c:v>
                </c:pt>
                <c:pt idx="2">
                  <c:v>85216</c:v>
                </c:pt>
                <c:pt idx="3">
                  <c:v>87181</c:v>
                </c:pt>
                <c:pt idx="4">
                  <c:v>87239</c:v>
                </c:pt>
                <c:pt idx="5">
                  <c:v>95603</c:v>
                </c:pt>
                <c:pt idx="6">
                  <c:v>112043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4-4408-B262-9402F71FA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286543"/>
        <c:axId val="616333807"/>
      </c:barChart>
      <c:lineChart>
        <c:grouping val="standard"/>
        <c:varyColors val="0"/>
        <c:ser>
          <c:idx val="2"/>
          <c:order val="2"/>
          <c:tx>
            <c:strRef>
              <c:f>'Chart Data'!$EO$1</c:f>
              <c:strCache>
                <c:ptCount val="1"/>
                <c:pt idx="0">
                  <c:v>Fmax (MHz)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'Chart Data'!$EL$2:$EL$8</c:f>
              <c:strCache>
                <c:ptCount val="7"/>
                <c:pt idx="0">
                  <c:v>1x64</c:v>
                </c:pt>
                <c:pt idx="1">
                  <c:v>2x32</c:v>
                </c:pt>
                <c:pt idx="2">
                  <c:v>4x16</c:v>
                </c:pt>
                <c:pt idx="3">
                  <c:v>8x8</c:v>
                </c:pt>
                <c:pt idx="4">
                  <c:v>16x4</c:v>
                </c:pt>
                <c:pt idx="5">
                  <c:v>32x2</c:v>
                </c:pt>
                <c:pt idx="6">
                  <c:v>64x1</c:v>
                </c:pt>
              </c:strCache>
            </c:strRef>
          </c:cat>
          <c:val>
            <c:numRef>
              <c:f>'Chart Data'!$EO$2:$EO$8</c:f>
              <c:numCache>
                <c:formatCode>General</c:formatCode>
                <c:ptCount val="7"/>
                <c:pt idx="0">
                  <c:v>417.9</c:v>
                </c:pt>
                <c:pt idx="1">
                  <c:v>434.8</c:v>
                </c:pt>
                <c:pt idx="2">
                  <c:v>410.2</c:v>
                </c:pt>
                <c:pt idx="3">
                  <c:v>443.5</c:v>
                </c:pt>
                <c:pt idx="4">
                  <c:v>417.5</c:v>
                </c:pt>
                <c:pt idx="5">
                  <c:v>397.6</c:v>
                </c:pt>
                <c:pt idx="6">
                  <c:v>376.9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84-4408-B262-9402F71FA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273071"/>
        <c:axId val="616354447"/>
      </c:lineChart>
      <c:catAx>
        <c:axId val="71728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 × BLOCKS (=64)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616333807"/>
        <c:crosses val="autoZero"/>
        <c:auto val="1"/>
        <c:lblAlgn val="ctr"/>
        <c:lblOffset val="100"/>
        <c:noMultiLvlLbl val="0"/>
      </c:catAx>
      <c:valAx>
        <c:axId val="6163338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Primitive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717286543"/>
        <c:crosses val="autoZero"/>
        <c:crossBetween val="between"/>
      </c:valAx>
      <c:valAx>
        <c:axId val="616354447"/>
        <c:scaling>
          <c:orientation val="minMax"/>
          <c:max val="460"/>
          <c:min val="3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Fmax (MHz)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633273071"/>
        <c:crosses val="max"/>
        <c:crossBetween val="between"/>
      </c:valAx>
      <c:catAx>
        <c:axId val="633273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6354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per matrix element: static vs dynamic (325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Data'!$DQ$1</c:f>
              <c:strCache>
                <c:ptCount val="1"/>
                <c:pt idx="0">
                  <c:v>Static (pJ/element)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multiLvlStrRef>
              <c:f>'Chart Data'!$DO$2:$DP$67</c:f>
              <c:multiLvlStrCache>
                <c:ptCount val="66"/>
                <c:lvl>
                  <c:pt idx="0">
                    <c:v>dense</c:v>
                  </c:pt>
                  <c:pt idx="1">
                    <c:v>2:4</c:v>
                  </c:pt>
                  <c:pt idx="2">
                    <c:v>2:8</c:v>
                  </c:pt>
                  <c:pt idx="3">
                    <c:v>2:16</c:v>
                  </c:pt>
                  <c:pt idx="4">
                    <c:v>2:32</c:v>
                  </c:pt>
                  <c:pt idx="5">
                    <c:v>MIXED</c:v>
                  </c:pt>
                  <c:pt idx="6">
                    <c:v>dense</c:v>
                  </c:pt>
                  <c:pt idx="7">
                    <c:v>2:4</c:v>
                  </c:pt>
                  <c:pt idx="8">
                    <c:v>2:8</c:v>
                  </c:pt>
                  <c:pt idx="9">
                    <c:v>2:16</c:v>
                  </c:pt>
                  <c:pt idx="10">
                    <c:v>2:32</c:v>
                  </c:pt>
                  <c:pt idx="11">
                    <c:v>MIXED</c:v>
                  </c:pt>
                  <c:pt idx="12">
                    <c:v>dense</c:v>
                  </c:pt>
                  <c:pt idx="13">
                    <c:v>2:4</c:v>
                  </c:pt>
                  <c:pt idx="14">
                    <c:v>2:8</c:v>
                  </c:pt>
                  <c:pt idx="15">
                    <c:v>2:16</c:v>
                  </c:pt>
                  <c:pt idx="16">
                    <c:v>2:32</c:v>
                  </c:pt>
                  <c:pt idx="17">
                    <c:v>MIXED</c:v>
                  </c:pt>
                  <c:pt idx="18">
                    <c:v>dense</c:v>
                  </c:pt>
                  <c:pt idx="19">
                    <c:v>2:4</c:v>
                  </c:pt>
                  <c:pt idx="20">
                    <c:v>2:8</c:v>
                  </c:pt>
                  <c:pt idx="21">
                    <c:v>2:16</c:v>
                  </c:pt>
                  <c:pt idx="22">
                    <c:v>2:32</c:v>
                  </c:pt>
                  <c:pt idx="23">
                    <c:v>MIXED</c:v>
                  </c:pt>
                  <c:pt idx="24">
                    <c:v>dense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dense</c:v>
                  </c:pt>
                  <c:pt idx="31">
                    <c:v>2:4</c:v>
                  </c:pt>
                  <c:pt idx="32">
                    <c:v>2:8</c:v>
                  </c:pt>
                  <c:pt idx="33">
                    <c:v>2:16</c:v>
                  </c:pt>
                  <c:pt idx="34">
                    <c:v>2:32</c:v>
                  </c:pt>
                  <c:pt idx="35">
                    <c:v>MIXED</c:v>
                  </c:pt>
                  <c:pt idx="36">
                    <c:v>dense</c:v>
                  </c:pt>
                  <c:pt idx="37">
                    <c:v>2:4</c:v>
                  </c:pt>
                  <c:pt idx="38">
                    <c:v>2:8</c:v>
                  </c:pt>
                  <c:pt idx="39">
                    <c:v>2:16</c:v>
                  </c:pt>
                  <c:pt idx="40">
                    <c:v>2:32</c:v>
                  </c:pt>
                  <c:pt idx="41">
                    <c:v>MIXED</c:v>
                  </c:pt>
                  <c:pt idx="42">
                    <c:v>dense</c:v>
                  </c:pt>
                  <c:pt idx="43">
                    <c:v>2:4</c:v>
                  </c:pt>
                  <c:pt idx="44">
                    <c:v>2:8</c:v>
                  </c:pt>
                  <c:pt idx="45">
                    <c:v>2:16</c:v>
                  </c:pt>
                  <c:pt idx="46">
                    <c:v>2:32</c:v>
                  </c:pt>
                  <c:pt idx="47">
                    <c:v>MIXED</c:v>
                  </c:pt>
                  <c:pt idx="48">
                    <c:v>dense</c:v>
                  </c:pt>
                  <c:pt idx="49">
                    <c:v>2:4</c:v>
                  </c:pt>
                  <c:pt idx="50">
                    <c:v>2:8</c:v>
                  </c:pt>
                  <c:pt idx="51">
                    <c:v>2:16</c:v>
                  </c:pt>
                  <c:pt idx="52">
                    <c:v>2:32</c:v>
                  </c:pt>
                  <c:pt idx="53">
                    <c:v>MIXED</c:v>
                  </c:pt>
                  <c:pt idx="54">
                    <c:v>dense</c:v>
                  </c:pt>
                  <c:pt idx="55">
                    <c:v>2:4</c:v>
                  </c:pt>
                  <c:pt idx="56">
                    <c:v>2:8</c:v>
                  </c:pt>
                  <c:pt idx="57">
                    <c:v>2:16</c:v>
                  </c:pt>
                  <c:pt idx="58">
                    <c:v>2:32</c:v>
                  </c:pt>
                  <c:pt idx="59">
                    <c:v>MIXED</c:v>
                  </c:pt>
                  <c:pt idx="60">
                    <c:v>dense</c:v>
                  </c:pt>
                  <c:pt idx="61">
                    <c:v>2:4</c:v>
                  </c:pt>
                  <c:pt idx="62">
                    <c:v>2:8</c:v>
                  </c:pt>
                  <c:pt idx="63">
                    <c:v>2:16</c:v>
                  </c:pt>
                  <c:pt idx="64">
                    <c:v>2:32</c:v>
                  </c:pt>
                  <c:pt idx="65">
                    <c:v>MIXED</c:v>
                  </c:pt>
                </c:lvl>
                <c:lvl>
                  <c:pt idx="2">
                    <c:v>512x512</c:v>
                  </c:pt>
                  <c:pt idx="8">
                    <c:v>768x768</c:v>
                  </c:pt>
                  <c:pt idx="14">
                    <c:v>1024x1024</c:v>
                  </c:pt>
                  <c:pt idx="20">
                    <c:v>3072x768</c:v>
                  </c:pt>
                  <c:pt idx="26">
                    <c:v>768x3072</c:v>
                  </c:pt>
                  <c:pt idx="32">
                    <c:v>4096x1024</c:v>
                  </c:pt>
                  <c:pt idx="38">
                    <c:v>1024x4096</c:v>
                  </c:pt>
                  <c:pt idx="44">
                    <c:v>2048x2048</c:v>
                  </c:pt>
                  <c:pt idx="50">
                    <c:v>4096x4096</c:v>
                  </c:pt>
                  <c:pt idx="56">
                    <c:v>8192x2048</c:v>
                  </c:pt>
                  <c:pt idx="62">
                    <c:v>2048x8192</c:v>
                  </c:pt>
                </c:lvl>
              </c:multiLvlStrCache>
            </c:multiLvlStrRef>
          </c:cat>
          <c:val>
            <c:numRef>
              <c:f>'Chart Data'!$DQ$2:$DQ$67</c:f>
              <c:numCache>
                <c:formatCode>General</c:formatCode>
                <c:ptCount val="66"/>
                <c:pt idx="0">
                  <c:v>678.97</c:v>
                </c:pt>
                <c:pt idx="1">
                  <c:v>375.41699999999997</c:v>
                </c:pt>
                <c:pt idx="2">
                  <c:v>190.631</c:v>
                </c:pt>
                <c:pt idx="3">
                  <c:v>96.003</c:v>
                </c:pt>
                <c:pt idx="4">
                  <c:v>49.576000000000001</c:v>
                </c:pt>
                <c:pt idx="5">
                  <c:v>176.30600000000001</c:v>
                </c:pt>
                <c:pt idx="6">
                  <c:v>678.25599999999997</c:v>
                </c:pt>
                <c:pt idx="7">
                  <c:v>375.30799999999999</c:v>
                </c:pt>
                <c:pt idx="8">
                  <c:v>187.30799999999999</c:v>
                </c:pt>
                <c:pt idx="9">
                  <c:v>95.802000000000007</c:v>
                </c:pt>
                <c:pt idx="10">
                  <c:v>48.609000000000002</c:v>
                </c:pt>
                <c:pt idx="11">
                  <c:v>176.84700000000001</c:v>
                </c:pt>
                <c:pt idx="12">
                  <c:v>675.39099999999996</c:v>
                </c:pt>
                <c:pt idx="13">
                  <c:v>376.71199999999999</c:v>
                </c:pt>
                <c:pt idx="14">
                  <c:v>187.26499999999999</c:v>
                </c:pt>
                <c:pt idx="15">
                  <c:v>95.343000000000004</c:v>
                </c:pt>
                <c:pt idx="16">
                  <c:v>48.063000000000002</c:v>
                </c:pt>
                <c:pt idx="17">
                  <c:v>172.93600000000001</c:v>
                </c:pt>
                <c:pt idx="18">
                  <c:v>678.97699999999998</c:v>
                </c:pt>
                <c:pt idx="19">
                  <c:v>376.19799999999998</c:v>
                </c:pt>
                <c:pt idx="20">
                  <c:v>188.696</c:v>
                </c:pt>
                <c:pt idx="21">
                  <c:v>94.825999999999993</c:v>
                </c:pt>
                <c:pt idx="22">
                  <c:v>48.609000000000002</c:v>
                </c:pt>
                <c:pt idx="23">
                  <c:v>177.19499999999999</c:v>
                </c:pt>
                <c:pt idx="24">
                  <c:v>679.96500000000003</c:v>
                </c:pt>
                <c:pt idx="25">
                  <c:v>371.11599999999999</c:v>
                </c:pt>
                <c:pt idx="26">
                  <c:v>188.905</c:v>
                </c:pt>
                <c:pt idx="27">
                  <c:v>94.715999999999994</c:v>
                </c:pt>
                <c:pt idx="28">
                  <c:v>47.21</c:v>
                </c:pt>
                <c:pt idx="29">
                  <c:v>177.40799999999999</c:v>
                </c:pt>
                <c:pt idx="30">
                  <c:v>678.27200000000005</c:v>
                </c:pt>
                <c:pt idx="31">
                  <c:v>374.45699999999999</c:v>
                </c:pt>
                <c:pt idx="32">
                  <c:v>189.68199999999999</c:v>
                </c:pt>
                <c:pt idx="33">
                  <c:v>94.448999999999998</c:v>
                </c:pt>
                <c:pt idx="34">
                  <c:v>48.128</c:v>
                </c:pt>
                <c:pt idx="35">
                  <c:v>175.34299999999999</c:v>
                </c:pt>
                <c:pt idx="36">
                  <c:v>678.99599999999998</c:v>
                </c:pt>
                <c:pt idx="37">
                  <c:v>374.61</c:v>
                </c:pt>
                <c:pt idx="38">
                  <c:v>188.215</c:v>
                </c:pt>
                <c:pt idx="39">
                  <c:v>92.527000000000001</c:v>
                </c:pt>
                <c:pt idx="40">
                  <c:v>46.570999999999998</c:v>
                </c:pt>
                <c:pt idx="41">
                  <c:v>173.88499999999999</c:v>
                </c:pt>
                <c:pt idx="42">
                  <c:v>679.00800000000004</c:v>
                </c:pt>
                <c:pt idx="43">
                  <c:v>373.90699999999998</c:v>
                </c:pt>
                <c:pt idx="44">
                  <c:v>187.87200000000001</c:v>
                </c:pt>
                <c:pt idx="45">
                  <c:v>94.164000000000001</c:v>
                </c:pt>
                <c:pt idx="46">
                  <c:v>47.055999999999997</c:v>
                </c:pt>
                <c:pt idx="47">
                  <c:v>175.32</c:v>
                </c:pt>
                <c:pt idx="48">
                  <c:v>673.59900000000005</c:v>
                </c:pt>
                <c:pt idx="49">
                  <c:v>371.15300000000002</c:v>
                </c:pt>
                <c:pt idx="50">
                  <c:v>188.613</c:v>
                </c:pt>
                <c:pt idx="51">
                  <c:v>93.778999999999996</c:v>
                </c:pt>
                <c:pt idx="52">
                  <c:v>47.207000000000001</c:v>
                </c:pt>
                <c:pt idx="53">
                  <c:v>173.42400000000001</c:v>
                </c:pt>
                <c:pt idx="54">
                  <c:v>676.86900000000003</c:v>
                </c:pt>
                <c:pt idx="55">
                  <c:v>374.21300000000002</c:v>
                </c:pt>
                <c:pt idx="56">
                  <c:v>187.54499999999999</c:v>
                </c:pt>
                <c:pt idx="57">
                  <c:v>94.287999999999997</c:v>
                </c:pt>
                <c:pt idx="58">
                  <c:v>47.311999999999998</c:v>
                </c:pt>
                <c:pt idx="59">
                  <c:v>175.48699999999999</c:v>
                </c:pt>
                <c:pt idx="60">
                  <c:v>679.65300000000002</c:v>
                </c:pt>
                <c:pt idx="61">
                  <c:v>372.22500000000002</c:v>
                </c:pt>
                <c:pt idx="62">
                  <c:v>188.65299999999999</c:v>
                </c:pt>
                <c:pt idx="63">
                  <c:v>93.641999999999996</c:v>
                </c:pt>
                <c:pt idx="64">
                  <c:v>46.664000000000001</c:v>
                </c:pt>
                <c:pt idx="65">
                  <c:v>174.542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3-4030-9DB6-7651DF0C21E5}"/>
            </c:ext>
          </c:extLst>
        </c:ser>
        <c:ser>
          <c:idx val="1"/>
          <c:order val="1"/>
          <c:tx>
            <c:strRef>
              <c:f>'Chart Data'!$DR$1</c:f>
              <c:strCache>
                <c:ptCount val="1"/>
                <c:pt idx="0">
                  <c:v>Dynamic (pJ/element)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multiLvlStrRef>
              <c:f>'Chart Data'!$DO$2:$DP$67</c:f>
              <c:multiLvlStrCache>
                <c:ptCount val="66"/>
                <c:lvl>
                  <c:pt idx="0">
                    <c:v>dense</c:v>
                  </c:pt>
                  <c:pt idx="1">
                    <c:v>2:4</c:v>
                  </c:pt>
                  <c:pt idx="2">
                    <c:v>2:8</c:v>
                  </c:pt>
                  <c:pt idx="3">
                    <c:v>2:16</c:v>
                  </c:pt>
                  <c:pt idx="4">
                    <c:v>2:32</c:v>
                  </c:pt>
                  <c:pt idx="5">
                    <c:v>MIXED</c:v>
                  </c:pt>
                  <c:pt idx="6">
                    <c:v>dense</c:v>
                  </c:pt>
                  <c:pt idx="7">
                    <c:v>2:4</c:v>
                  </c:pt>
                  <c:pt idx="8">
                    <c:v>2:8</c:v>
                  </c:pt>
                  <c:pt idx="9">
                    <c:v>2:16</c:v>
                  </c:pt>
                  <c:pt idx="10">
                    <c:v>2:32</c:v>
                  </c:pt>
                  <c:pt idx="11">
                    <c:v>MIXED</c:v>
                  </c:pt>
                  <c:pt idx="12">
                    <c:v>dense</c:v>
                  </c:pt>
                  <c:pt idx="13">
                    <c:v>2:4</c:v>
                  </c:pt>
                  <c:pt idx="14">
                    <c:v>2:8</c:v>
                  </c:pt>
                  <c:pt idx="15">
                    <c:v>2:16</c:v>
                  </c:pt>
                  <c:pt idx="16">
                    <c:v>2:32</c:v>
                  </c:pt>
                  <c:pt idx="17">
                    <c:v>MIXED</c:v>
                  </c:pt>
                  <c:pt idx="18">
                    <c:v>dense</c:v>
                  </c:pt>
                  <c:pt idx="19">
                    <c:v>2:4</c:v>
                  </c:pt>
                  <c:pt idx="20">
                    <c:v>2:8</c:v>
                  </c:pt>
                  <c:pt idx="21">
                    <c:v>2:16</c:v>
                  </c:pt>
                  <c:pt idx="22">
                    <c:v>2:32</c:v>
                  </c:pt>
                  <c:pt idx="23">
                    <c:v>MIXED</c:v>
                  </c:pt>
                  <c:pt idx="24">
                    <c:v>dense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dense</c:v>
                  </c:pt>
                  <c:pt idx="31">
                    <c:v>2:4</c:v>
                  </c:pt>
                  <c:pt idx="32">
                    <c:v>2:8</c:v>
                  </c:pt>
                  <c:pt idx="33">
                    <c:v>2:16</c:v>
                  </c:pt>
                  <c:pt idx="34">
                    <c:v>2:32</c:v>
                  </c:pt>
                  <c:pt idx="35">
                    <c:v>MIXED</c:v>
                  </c:pt>
                  <c:pt idx="36">
                    <c:v>dense</c:v>
                  </c:pt>
                  <c:pt idx="37">
                    <c:v>2:4</c:v>
                  </c:pt>
                  <c:pt idx="38">
                    <c:v>2:8</c:v>
                  </c:pt>
                  <c:pt idx="39">
                    <c:v>2:16</c:v>
                  </c:pt>
                  <c:pt idx="40">
                    <c:v>2:32</c:v>
                  </c:pt>
                  <c:pt idx="41">
                    <c:v>MIXED</c:v>
                  </c:pt>
                  <c:pt idx="42">
                    <c:v>dense</c:v>
                  </c:pt>
                  <c:pt idx="43">
                    <c:v>2:4</c:v>
                  </c:pt>
                  <c:pt idx="44">
                    <c:v>2:8</c:v>
                  </c:pt>
                  <c:pt idx="45">
                    <c:v>2:16</c:v>
                  </c:pt>
                  <c:pt idx="46">
                    <c:v>2:32</c:v>
                  </c:pt>
                  <c:pt idx="47">
                    <c:v>MIXED</c:v>
                  </c:pt>
                  <c:pt idx="48">
                    <c:v>dense</c:v>
                  </c:pt>
                  <c:pt idx="49">
                    <c:v>2:4</c:v>
                  </c:pt>
                  <c:pt idx="50">
                    <c:v>2:8</c:v>
                  </c:pt>
                  <c:pt idx="51">
                    <c:v>2:16</c:v>
                  </c:pt>
                  <c:pt idx="52">
                    <c:v>2:32</c:v>
                  </c:pt>
                  <c:pt idx="53">
                    <c:v>MIXED</c:v>
                  </c:pt>
                  <c:pt idx="54">
                    <c:v>dense</c:v>
                  </c:pt>
                  <c:pt idx="55">
                    <c:v>2:4</c:v>
                  </c:pt>
                  <c:pt idx="56">
                    <c:v>2:8</c:v>
                  </c:pt>
                  <c:pt idx="57">
                    <c:v>2:16</c:v>
                  </c:pt>
                  <c:pt idx="58">
                    <c:v>2:32</c:v>
                  </c:pt>
                  <c:pt idx="59">
                    <c:v>MIXED</c:v>
                  </c:pt>
                  <c:pt idx="60">
                    <c:v>dense</c:v>
                  </c:pt>
                  <c:pt idx="61">
                    <c:v>2:4</c:v>
                  </c:pt>
                  <c:pt idx="62">
                    <c:v>2:8</c:v>
                  </c:pt>
                  <c:pt idx="63">
                    <c:v>2:16</c:v>
                  </c:pt>
                  <c:pt idx="64">
                    <c:v>2:32</c:v>
                  </c:pt>
                  <c:pt idx="65">
                    <c:v>MIXED</c:v>
                  </c:pt>
                </c:lvl>
                <c:lvl>
                  <c:pt idx="2">
                    <c:v>512x512</c:v>
                  </c:pt>
                  <c:pt idx="8">
                    <c:v>768x768</c:v>
                  </c:pt>
                  <c:pt idx="14">
                    <c:v>1024x1024</c:v>
                  </c:pt>
                  <c:pt idx="20">
                    <c:v>3072x768</c:v>
                  </c:pt>
                  <c:pt idx="26">
                    <c:v>768x3072</c:v>
                  </c:pt>
                  <c:pt idx="32">
                    <c:v>4096x1024</c:v>
                  </c:pt>
                  <c:pt idx="38">
                    <c:v>1024x4096</c:v>
                  </c:pt>
                  <c:pt idx="44">
                    <c:v>2048x2048</c:v>
                  </c:pt>
                  <c:pt idx="50">
                    <c:v>4096x4096</c:v>
                  </c:pt>
                  <c:pt idx="56">
                    <c:v>8192x2048</c:v>
                  </c:pt>
                  <c:pt idx="62">
                    <c:v>2048x8192</c:v>
                  </c:pt>
                </c:lvl>
              </c:multiLvlStrCache>
            </c:multiLvlStrRef>
          </c:cat>
          <c:val>
            <c:numRef>
              <c:f>'Chart Data'!$DR$2:$DR$67</c:f>
              <c:numCache>
                <c:formatCode>General</c:formatCode>
                <c:ptCount val="66"/>
                <c:pt idx="0">
                  <c:v>116.526</c:v>
                </c:pt>
                <c:pt idx="1">
                  <c:v>72.545000000000002</c:v>
                </c:pt>
                <c:pt idx="2">
                  <c:v>33.418999999999997</c:v>
                </c:pt>
                <c:pt idx="3">
                  <c:v>18.701000000000001</c:v>
                </c:pt>
                <c:pt idx="4">
                  <c:v>9.8089999999999993</c:v>
                </c:pt>
                <c:pt idx="5">
                  <c:v>31.870999999999999</c:v>
                </c:pt>
                <c:pt idx="6">
                  <c:v>116.40300000000001</c:v>
                </c:pt>
                <c:pt idx="7">
                  <c:v>72.524000000000001</c:v>
                </c:pt>
                <c:pt idx="8">
                  <c:v>32.837000000000003</c:v>
                </c:pt>
                <c:pt idx="9">
                  <c:v>18.661999999999999</c:v>
                </c:pt>
                <c:pt idx="10">
                  <c:v>9.6170000000000009</c:v>
                </c:pt>
                <c:pt idx="11">
                  <c:v>31.969000000000001</c:v>
                </c:pt>
                <c:pt idx="12">
                  <c:v>115.91200000000001</c:v>
                </c:pt>
                <c:pt idx="13">
                  <c:v>72.795000000000002</c:v>
                </c:pt>
                <c:pt idx="14">
                  <c:v>32.829000000000001</c:v>
                </c:pt>
                <c:pt idx="15">
                  <c:v>18.571999999999999</c:v>
                </c:pt>
                <c:pt idx="16">
                  <c:v>9.5090000000000003</c:v>
                </c:pt>
                <c:pt idx="17">
                  <c:v>31.262</c:v>
                </c:pt>
                <c:pt idx="18">
                  <c:v>116.527</c:v>
                </c:pt>
                <c:pt idx="19">
                  <c:v>72.694999999999993</c:v>
                </c:pt>
                <c:pt idx="20">
                  <c:v>33.08</c:v>
                </c:pt>
                <c:pt idx="21">
                  <c:v>18.472000000000001</c:v>
                </c:pt>
                <c:pt idx="22">
                  <c:v>9.6170000000000009</c:v>
                </c:pt>
                <c:pt idx="23">
                  <c:v>32.031999999999996</c:v>
                </c:pt>
                <c:pt idx="24">
                  <c:v>116.697</c:v>
                </c:pt>
                <c:pt idx="25">
                  <c:v>71.712999999999994</c:v>
                </c:pt>
                <c:pt idx="26">
                  <c:v>33.116999999999997</c:v>
                </c:pt>
                <c:pt idx="27">
                  <c:v>18.45</c:v>
                </c:pt>
                <c:pt idx="28">
                  <c:v>9.34</c:v>
                </c:pt>
                <c:pt idx="29">
                  <c:v>32.07</c:v>
                </c:pt>
                <c:pt idx="30">
                  <c:v>116.40600000000001</c:v>
                </c:pt>
                <c:pt idx="31">
                  <c:v>72.358999999999995</c:v>
                </c:pt>
                <c:pt idx="32">
                  <c:v>33.253</c:v>
                </c:pt>
                <c:pt idx="33">
                  <c:v>18.398</c:v>
                </c:pt>
                <c:pt idx="34">
                  <c:v>9.5220000000000002</c:v>
                </c:pt>
                <c:pt idx="35">
                  <c:v>31.696999999999999</c:v>
                </c:pt>
                <c:pt idx="36">
                  <c:v>116.53</c:v>
                </c:pt>
                <c:pt idx="37">
                  <c:v>72.388999999999996</c:v>
                </c:pt>
                <c:pt idx="38">
                  <c:v>32.996000000000002</c:v>
                </c:pt>
                <c:pt idx="39">
                  <c:v>18.024000000000001</c:v>
                </c:pt>
                <c:pt idx="40">
                  <c:v>9.2140000000000004</c:v>
                </c:pt>
                <c:pt idx="41">
                  <c:v>31.434000000000001</c:v>
                </c:pt>
                <c:pt idx="42">
                  <c:v>116.532</c:v>
                </c:pt>
                <c:pt idx="43">
                  <c:v>72.253</c:v>
                </c:pt>
                <c:pt idx="44">
                  <c:v>32.936</c:v>
                </c:pt>
                <c:pt idx="45">
                  <c:v>18.343</c:v>
                </c:pt>
                <c:pt idx="46">
                  <c:v>9.31</c:v>
                </c:pt>
                <c:pt idx="47">
                  <c:v>31.693000000000001</c:v>
                </c:pt>
                <c:pt idx="48">
                  <c:v>115.604</c:v>
                </c:pt>
                <c:pt idx="49">
                  <c:v>71.721000000000004</c:v>
                </c:pt>
                <c:pt idx="50">
                  <c:v>33.064999999999998</c:v>
                </c:pt>
                <c:pt idx="51">
                  <c:v>18.268000000000001</c:v>
                </c:pt>
                <c:pt idx="52">
                  <c:v>9.34</c:v>
                </c:pt>
                <c:pt idx="53">
                  <c:v>31.35</c:v>
                </c:pt>
                <c:pt idx="54">
                  <c:v>116.16500000000001</c:v>
                </c:pt>
                <c:pt idx="55">
                  <c:v>72.311999999999998</c:v>
                </c:pt>
                <c:pt idx="56">
                  <c:v>32.878</c:v>
                </c:pt>
                <c:pt idx="57">
                  <c:v>18.367000000000001</c:v>
                </c:pt>
                <c:pt idx="58">
                  <c:v>9.3610000000000007</c:v>
                </c:pt>
                <c:pt idx="59">
                  <c:v>31.722999999999999</c:v>
                </c:pt>
                <c:pt idx="60">
                  <c:v>116.643</c:v>
                </c:pt>
                <c:pt idx="61">
                  <c:v>71.927999999999997</c:v>
                </c:pt>
                <c:pt idx="62">
                  <c:v>33.072000000000003</c:v>
                </c:pt>
                <c:pt idx="63">
                  <c:v>18.241</c:v>
                </c:pt>
                <c:pt idx="64">
                  <c:v>9.2319999999999993</c:v>
                </c:pt>
                <c:pt idx="65">
                  <c:v>31.552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3-4030-9DB6-7651DF0C2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4139551"/>
        <c:axId val="1615575695"/>
      </c:barChart>
      <c:catAx>
        <c:axId val="1644139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×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15575695"/>
        <c:crosses val="autoZero"/>
        <c:auto val="1"/>
        <c:lblAlgn val="ctr"/>
        <c:lblOffset val="100"/>
        <c:noMultiLvlLbl val="0"/>
      </c:catAx>
      <c:valAx>
        <c:axId val="16155756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4413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energy to complete each matrix: static vs dynamic (325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Data'!$DV$1</c:f>
              <c:strCache>
                <c:ptCount val="1"/>
                <c:pt idx="0">
                  <c:v>Static (uJ)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multiLvlStrRef>
              <c:f>'Chart Data'!$DT$2:$DU$67</c:f>
              <c:multiLvlStrCache>
                <c:ptCount val="66"/>
                <c:lvl>
                  <c:pt idx="0">
                    <c:v>dense</c:v>
                  </c:pt>
                  <c:pt idx="1">
                    <c:v>2:4</c:v>
                  </c:pt>
                  <c:pt idx="2">
                    <c:v>2:8</c:v>
                  </c:pt>
                  <c:pt idx="3">
                    <c:v>2:16</c:v>
                  </c:pt>
                  <c:pt idx="4">
                    <c:v>2:32</c:v>
                  </c:pt>
                  <c:pt idx="5">
                    <c:v>MIXED</c:v>
                  </c:pt>
                  <c:pt idx="6">
                    <c:v>dense</c:v>
                  </c:pt>
                  <c:pt idx="7">
                    <c:v>2:4</c:v>
                  </c:pt>
                  <c:pt idx="8">
                    <c:v>2:8</c:v>
                  </c:pt>
                  <c:pt idx="9">
                    <c:v>2:16</c:v>
                  </c:pt>
                  <c:pt idx="10">
                    <c:v>2:32</c:v>
                  </c:pt>
                  <c:pt idx="11">
                    <c:v>MIXED</c:v>
                  </c:pt>
                  <c:pt idx="12">
                    <c:v>dense</c:v>
                  </c:pt>
                  <c:pt idx="13">
                    <c:v>2:4</c:v>
                  </c:pt>
                  <c:pt idx="14">
                    <c:v>2:8</c:v>
                  </c:pt>
                  <c:pt idx="15">
                    <c:v>2:16</c:v>
                  </c:pt>
                  <c:pt idx="16">
                    <c:v>2:32</c:v>
                  </c:pt>
                  <c:pt idx="17">
                    <c:v>MIXED</c:v>
                  </c:pt>
                  <c:pt idx="18">
                    <c:v>dense</c:v>
                  </c:pt>
                  <c:pt idx="19">
                    <c:v>2:4</c:v>
                  </c:pt>
                  <c:pt idx="20">
                    <c:v>2:8</c:v>
                  </c:pt>
                  <c:pt idx="21">
                    <c:v>2:16</c:v>
                  </c:pt>
                  <c:pt idx="22">
                    <c:v>2:32</c:v>
                  </c:pt>
                  <c:pt idx="23">
                    <c:v>MIXED</c:v>
                  </c:pt>
                  <c:pt idx="24">
                    <c:v>dense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dense</c:v>
                  </c:pt>
                  <c:pt idx="31">
                    <c:v>2:4</c:v>
                  </c:pt>
                  <c:pt idx="32">
                    <c:v>2:8</c:v>
                  </c:pt>
                  <c:pt idx="33">
                    <c:v>2:16</c:v>
                  </c:pt>
                  <c:pt idx="34">
                    <c:v>2:32</c:v>
                  </c:pt>
                  <c:pt idx="35">
                    <c:v>MIXED</c:v>
                  </c:pt>
                  <c:pt idx="36">
                    <c:v>dense</c:v>
                  </c:pt>
                  <c:pt idx="37">
                    <c:v>2:4</c:v>
                  </c:pt>
                  <c:pt idx="38">
                    <c:v>2:8</c:v>
                  </c:pt>
                  <c:pt idx="39">
                    <c:v>2:16</c:v>
                  </c:pt>
                  <c:pt idx="40">
                    <c:v>2:32</c:v>
                  </c:pt>
                  <c:pt idx="41">
                    <c:v>MIXED</c:v>
                  </c:pt>
                  <c:pt idx="42">
                    <c:v>dense</c:v>
                  </c:pt>
                  <c:pt idx="43">
                    <c:v>2:4</c:v>
                  </c:pt>
                  <c:pt idx="44">
                    <c:v>2:8</c:v>
                  </c:pt>
                  <c:pt idx="45">
                    <c:v>2:16</c:v>
                  </c:pt>
                  <c:pt idx="46">
                    <c:v>2:32</c:v>
                  </c:pt>
                  <c:pt idx="47">
                    <c:v>MIXED</c:v>
                  </c:pt>
                  <c:pt idx="48">
                    <c:v>dense</c:v>
                  </c:pt>
                  <c:pt idx="49">
                    <c:v>2:4</c:v>
                  </c:pt>
                  <c:pt idx="50">
                    <c:v>2:8</c:v>
                  </c:pt>
                  <c:pt idx="51">
                    <c:v>2:16</c:v>
                  </c:pt>
                  <c:pt idx="52">
                    <c:v>2:32</c:v>
                  </c:pt>
                  <c:pt idx="53">
                    <c:v>MIXED</c:v>
                  </c:pt>
                  <c:pt idx="54">
                    <c:v>dense</c:v>
                  </c:pt>
                  <c:pt idx="55">
                    <c:v>2:4</c:v>
                  </c:pt>
                  <c:pt idx="56">
                    <c:v>2:8</c:v>
                  </c:pt>
                  <c:pt idx="57">
                    <c:v>2:16</c:v>
                  </c:pt>
                  <c:pt idx="58">
                    <c:v>2:32</c:v>
                  </c:pt>
                  <c:pt idx="59">
                    <c:v>MIXED</c:v>
                  </c:pt>
                  <c:pt idx="60">
                    <c:v>dense</c:v>
                  </c:pt>
                  <c:pt idx="61">
                    <c:v>2:4</c:v>
                  </c:pt>
                  <c:pt idx="62">
                    <c:v>2:8</c:v>
                  </c:pt>
                  <c:pt idx="63">
                    <c:v>2:16</c:v>
                  </c:pt>
                  <c:pt idx="64">
                    <c:v>2:32</c:v>
                  </c:pt>
                  <c:pt idx="65">
                    <c:v>MIXED</c:v>
                  </c:pt>
                </c:lvl>
                <c:lvl>
                  <c:pt idx="0">
                    <c:v>512x512</c:v>
                  </c:pt>
                  <c:pt idx="6">
                    <c:v>768x768</c:v>
                  </c:pt>
                  <c:pt idx="12">
                    <c:v>1024x1024</c:v>
                  </c:pt>
                  <c:pt idx="18">
                    <c:v>3072x768</c:v>
                  </c:pt>
                  <c:pt idx="24">
                    <c:v>768x3072</c:v>
                  </c:pt>
                  <c:pt idx="30">
                    <c:v>4096x1024</c:v>
                  </c:pt>
                  <c:pt idx="36">
                    <c:v>1024x4096</c:v>
                  </c:pt>
                  <c:pt idx="42">
                    <c:v>2048x2048</c:v>
                  </c:pt>
                  <c:pt idx="48">
                    <c:v>4096x4096</c:v>
                  </c:pt>
                  <c:pt idx="54">
                    <c:v>8192x2048</c:v>
                  </c:pt>
                  <c:pt idx="60">
                    <c:v>2048x8192</c:v>
                  </c:pt>
                </c:lvl>
              </c:multiLvlStrCache>
            </c:multiLvlStrRef>
          </c:cat>
          <c:val>
            <c:numRef>
              <c:f>'Chart Data'!$DV$2:$DV$67</c:f>
              <c:numCache>
                <c:formatCode>General</c:formatCode>
                <c:ptCount val="66"/>
                <c:pt idx="0">
                  <c:v>177.988</c:v>
                </c:pt>
                <c:pt idx="1">
                  <c:v>98.412999999999997</c:v>
                </c:pt>
                <c:pt idx="2">
                  <c:v>49.972999999999999</c:v>
                </c:pt>
                <c:pt idx="3">
                  <c:v>25.166</c:v>
                </c:pt>
                <c:pt idx="4">
                  <c:v>12.996</c:v>
                </c:pt>
                <c:pt idx="5">
                  <c:v>46.218000000000004</c:v>
                </c:pt>
                <c:pt idx="6">
                  <c:v>400.05200000000002</c:v>
                </c:pt>
                <c:pt idx="7">
                  <c:v>221.36600000000001</c:v>
                </c:pt>
                <c:pt idx="8">
                  <c:v>110.479</c:v>
                </c:pt>
                <c:pt idx="9">
                  <c:v>56.506</c:v>
                </c:pt>
                <c:pt idx="10">
                  <c:v>28.670999999999999</c:v>
                </c:pt>
                <c:pt idx="11">
                  <c:v>104.309</c:v>
                </c:pt>
                <c:pt idx="12">
                  <c:v>708.19899999999996</c:v>
                </c:pt>
                <c:pt idx="13">
                  <c:v>395.01100000000002</c:v>
                </c:pt>
                <c:pt idx="14">
                  <c:v>196.36199999999999</c:v>
                </c:pt>
                <c:pt idx="15">
                  <c:v>99.974000000000004</c:v>
                </c:pt>
                <c:pt idx="16">
                  <c:v>50.396999999999998</c:v>
                </c:pt>
                <c:pt idx="17">
                  <c:v>181.33600000000001</c:v>
                </c:pt>
                <c:pt idx="18">
                  <c:v>1601.9079999999999</c:v>
                </c:pt>
                <c:pt idx="19">
                  <c:v>887.56299999999999</c:v>
                </c:pt>
                <c:pt idx="20">
                  <c:v>445.19</c:v>
                </c:pt>
                <c:pt idx="21">
                  <c:v>223.72300000000001</c:v>
                </c:pt>
                <c:pt idx="22">
                  <c:v>114.682</c:v>
                </c:pt>
                <c:pt idx="23">
                  <c:v>418.05500000000001</c:v>
                </c:pt>
                <c:pt idx="24">
                  <c:v>1604.239</c:v>
                </c:pt>
                <c:pt idx="25">
                  <c:v>875.572</c:v>
                </c:pt>
                <c:pt idx="26">
                  <c:v>445.68200000000002</c:v>
                </c:pt>
                <c:pt idx="27">
                  <c:v>223.46299999999999</c:v>
                </c:pt>
                <c:pt idx="28">
                  <c:v>111.38200000000001</c:v>
                </c:pt>
                <c:pt idx="29">
                  <c:v>418.55799999999999</c:v>
                </c:pt>
                <c:pt idx="30">
                  <c:v>2844.88</c:v>
                </c:pt>
                <c:pt idx="31">
                  <c:v>1570.586</c:v>
                </c:pt>
                <c:pt idx="32">
                  <c:v>795.58500000000004</c:v>
                </c:pt>
                <c:pt idx="33">
                  <c:v>396.14699999999999</c:v>
                </c:pt>
                <c:pt idx="34">
                  <c:v>201.86199999999999</c:v>
                </c:pt>
                <c:pt idx="35">
                  <c:v>735.44200000000001</c:v>
                </c:pt>
                <c:pt idx="36">
                  <c:v>2847.9160000000002</c:v>
                </c:pt>
                <c:pt idx="37">
                  <c:v>1571.2280000000001</c:v>
                </c:pt>
                <c:pt idx="38">
                  <c:v>789.43100000000004</c:v>
                </c:pt>
                <c:pt idx="39">
                  <c:v>388.08600000000001</c:v>
                </c:pt>
                <c:pt idx="40">
                  <c:v>195.334</c:v>
                </c:pt>
                <c:pt idx="41">
                  <c:v>729.327</c:v>
                </c:pt>
                <c:pt idx="42">
                  <c:v>2847.9639999999999</c:v>
                </c:pt>
                <c:pt idx="43">
                  <c:v>1568.2809999999999</c:v>
                </c:pt>
                <c:pt idx="44">
                  <c:v>787.99199999999996</c:v>
                </c:pt>
                <c:pt idx="45">
                  <c:v>394.95100000000002</c:v>
                </c:pt>
                <c:pt idx="46">
                  <c:v>197.36600000000001</c:v>
                </c:pt>
                <c:pt idx="47">
                  <c:v>735.34500000000003</c:v>
                </c:pt>
                <c:pt idx="48">
                  <c:v>11301.111000000001</c:v>
                </c:pt>
                <c:pt idx="49">
                  <c:v>6226.9129999999996</c:v>
                </c:pt>
                <c:pt idx="50">
                  <c:v>3164.4</c:v>
                </c:pt>
                <c:pt idx="51">
                  <c:v>1573.357</c:v>
                </c:pt>
                <c:pt idx="52">
                  <c:v>792.00300000000004</c:v>
                </c:pt>
                <c:pt idx="53">
                  <c:v>2909.5720000000001</c:v>
                </c:pt>
                <c:pt idx="54">
                  <c:v>11355.98</c:v>
                </c:pt>
                <c:pt idx="55">
                  <c:v>6278.2569999999996</c:v>
                </c:pt>
                <c:pt idx="56">
                  <c:v>3146.4850000000001</c:v>
                </c:pt>
                <c:pt idx="57">
                  <c:v>1581.8920000000001</c:v>
                </c:pt>
                <c:pt idx="58">
                  <c:v>793.75699999999995</c:v>
                </c:pt>
                <c:pt idx="59">
                  <c:v>2944.183</c:v>
                </c:pt>
                <c:pt idx="60">
                  <c:v>11402.677</c:v>
                </c:pt>
                <c:pt idx="61">
                  <c:v>6244.9</c:v>
                </c:pt>
                <c:pt idx="62">
                  <c:v>3165.0659999999998</c:v>
                </c:pt>
                <c:pt idx="63">
                  <c:v>1571.059</c:v>
                </c:pt>
                <c:pt idx="64">
                  <c:v>782.88699999999994</c:v>
                </c:pt>
                <c:pt idx="65">
                  <c:v>2928.3270000000002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0-4A3F-96C9-6B7F49F9B572}"/>
            </c:ext>
          </c:extLst>
        </c:ser>
        <c:ser>
          <c:idx val="1"/>
          <c:order val="1"/>
          <c:tx>
            <c:strRef>
              <c:f>'Chart Data'!$DW$1</c:f>
              <c:strCache>
                <c:ptCount val="1"/>
                <c:pt idx="0">
                  <c:v>Dynamic (uJ)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multiLvlStrRef>
              <c:f>'Chart Data'!$DT$2:$DU$67</c:f>
              <c:multiLvlStrCache>
                <c:ptCount val="66"/>
                <c:lvl>
                  <c:pt idx="0">
                    <c:v>dense</c:v>
                  </c:pt>
                  <c:pt idx="1">
                    <c:v>2:4</c:v>
                  </c:pt>
                  <c:pt idx="2">
                    <c:v>2:8</c:v>
                  </c:pt>
                  <c:pt idx="3">
                    <c:v>2:16</c:v>
                  </c:pt>
                  <c:pt idx="4">
                    <c:v>2:32</c:v>
                  </c:pt>
                  <c:pt idx="5">
                    <c:v>MIXED</c:v>
                  </c:pt>
                  <c:pt idx="6">
                    <c:v>dense</c:v>
                  </c:pt>
                  <c:pt idx="7">
                    <c:v>2:4</c:v>
                  </c:pt>
                  <c:pt idx="8">
                    <c:v>2:8</c:v>
                  </c:pt>
                  <c:pt idx="9">
                    <c:v>2:16</c:v>
                  </c:pt>
                  <c:pt idx="10">
                    <c:v>2:32</c:v>
                  </c:pt>
                  <c:pt idx="11">
                    <c:v>MIXED</c:v>
                  </c:pt>
                  <c:pt idx="12">
                    <c:v>dense</c:v>
                  </c:pt>
                  <c:pt idx="13">
                    <c:v>2:4</c:v>
                  </c:pt>
                  <c:pt idx="14">
                    <c:v>2:8</c:v>
                  </c:pt>
                  <c:pt idx="15">
                    <c:v>2:16</c:v>
                  </c:pt>
                  <c:pt idx="16">
                    <c:v>2:32</c:v>
                  </c:pt>
                  <c:pt idx="17">
                    <c:v>MIXED</c:v>
                  </c:pt>
                  <c:pt idx="18">
                    <c:v>dense</c:v>
                  </c:pt>
                  <c:pt idx="19">
                    <c:v>2:4</c:v>
                  </c:pt>
                  <c:pt idx="20">
                    <c:v>2:8</c:v>
                  </c:pt>
                  <c:pt idx="21">
                    <c:v>2:16</c:v>
                  </c:pt>
                  <c:pt idx="22">
                    <c:v>2:32</c:v>
                  </c:pt>
                  <c:pt idx="23">
                    <c:v>MIXED</c:v>
                  </c:pt>
                  <c:pt idx="24">
                    <c:v>dense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dense</c:v>
                  </c:pt>
                  <c:pt idx="31">
                    <c:v>2:4</c:v>
                  </c:pt>
                  <c:pt idx="32">
                    <c:v>2:8</c:v>
                  </c:pt>
                  <c:pt idx="33">
                    <c:v>2:16</c:v>
                  </c:pt>
                  <c:pt idx="34">
                    <c:v>2:32</c:v>
                  </c:pt>
                  <c:pt idx="35">
                    <c:v>MIXED</c:v>
                  </c:pt>
                  <c:pt idx="36">
                    <c:v>dense</c:v>
                  </c:pt>
                  <c:pt idx="37">
                    <c:v>2:4</c:v>
                  </c:pt>
                  <c:pt idx="38">
                    <c:v>2:8</c:v>
                  </c:pt>
                  <c:pt idx="39">
                    <c:v>2:16</c:v>
                  </c:pt>
                  <c:pt idx="40">
                    <c:v>2:32</c:v>
                  </c:pt>
                  <c:pt idx="41">
                    <c:v>MIXED</c:v>
                  </c:pt>
                  <c:pt idx="42">
                    <c:v>dense</c:v>
                  </c:pt>
                  <c:pt idx="43">
                    <c:v>2:4</c:v>
                  </c:pt>
                  <c:pt idx="44">
                    <c:v>2:8</c:v>
                  </c:pt>
                  <c:pt idx="45">
                    <c:v>2:16</c:v>
                  </c:pt>
                  <c:pt idx="46">
                    <c:v>2:32</c:v>
                  </c:pt>
                  <c:pt idx="47">
                    <c:v>MIXED</c:v>
                  </c:pt>
                  <c:pt idx="48">
                    <c:v>dense</c:v>
                  </c:pt>
                  <c:pt idx="49">
                    <c:v>2:4</c:v>
                  </c:pt>
                  <c:pt idx="50">
                    <c:v>2:8</c:v>
                  </c:pt>
                  <c:pt idx="51">
                    <c:v>2:16</c:v>
                  </c:pt>
                  <c:pt idx="52">
                    <c:v>2:32</c:v>
                  </c:pt>
                  <c:pt idx="53">
                    <c:v>MIXED</c:v>
                  </c:pt>
                  <c:pt idx="54">
                    <c:v>dense</c:v>
                  </c:pt>
                  <c:pt idx="55">
                    <c:v>2:4</c:v>
                  </c:pt>
                  <c:pt idx="56">
                    <c:v>2:8</c:v>
                  </c:pt>
                  <c:pt idx="57">
                    <c:v>2:16</c:v>
                  </c:pt>
                  <c:pt idx="58">
                    <c:v>2:32</c:v>
                  </c:pt>
                  <c:pt idx="59">
                    <c:v>MIXED</c:v>
                  </c:pt>
                  <c:pt idx="60">
                    <c:v>dense</c:v>
                  </c:pt>
                  <c:pt idx="61">
                    <c:v>2:4</c:v>
                  </c:pt>
                  <c:pt idx="62">
                    <c:v>2:8</c:v>
                  </c:pt>
                  <c:pt idx="63">
                    <c:v>2:16</c:v>
                  </c:pt>
                  <c:pt idx="64">
                    <c:v>2:32</c:v>
                  </c:pt>
                  <c:pt idx="65">
                    <c:v>MIXED</c:v>
                  </c:pt>
                </c:lvl>
                <c:lvl>
                  <c:pt idx="0">
                    <c:v>512x512</c:v>
                  </c:pt>
                  <c:pt idx="6">
                    <c:v>768x768</c:v>
                  </c:pt>
                  <c:pt idx="12">
                    <c:v>1024x1024</c:v>
                  </c:pt>
                  <c:pt idx="18">
                    <c:v>3072x768</c:v>
                  </c:pt>
                  <c:pt idx="24">
                    <c:v>768x3072</c:v>
                  </c:pt>
                  <c:pt idx="30">
                    <c:v>4096x1024</c:v>
                  </c:pt>
                  <c:pt idx="36">
                    <c:v>1024x4096</c:v>
                  </c:pt>
                  <c:pt idx="42">
                    <c:v>2048x2048</c:v>
                  </c:pt>
                  <c:pt idx="48">
                    <c:v>4096x4096</c:v>
                  </c:pt>
                  <c:pt idx="54">
                    <c:v>8192x2048</c:v>
                  </c:pt>
                  <c:pt idx="60">
                    <c:v>2048x8192</c:v>
                  </c:pt>
                </c:lvl>
              </c:multiLvlStrCache>
            </c:multiLvlStrRef>
          </c:cat>
          <c:val>
            <c:numRef>
              <c:f>'Chart Data'!$DW$2:$DW$67</c:f>
              <c:numCache>
                <c:formatCode>General</c:formatCode>
                <c:ptCount val="66"/>
                <c:pt idx="0">
                  <c:v>30.547000000000001</c:v>
                </c:pt>
                <c:pt idx="1">
                  <c:v>19.016999999999999</c:v>
                </c:pt>
                <c:pt idx="2">
                  <c:v>8.7609999999999992</c:v>
                </c:pt>
                <c:pt idx="3">
                  <c:v>4.9020000000000001</c:v>
                </c:pt>
                <c:pt idx="4">
                  <c:v>2.5710000000000002</c:v>
                </c:pt>
                <c:pt idx="5">
                  <c:v>8.3550000000000004</c:v>
                </c:pt>
                <c:pt idx="6">
                  <c:v>68.658000000000001</c:v>
                </c:pt>
                <c:pt idx="7">
                  <c:v>42.776000000000003</c:v>
                </c:pt>
                <c:pt idx="8">
                  <c:v>19.367999999999999</c:v>
                </c:pt>
                <c:pt idx="9">
                  <c:v>11.007</c:v>
                </c:pt>
                <c:pt idx="10">
                  <c:v>5.6719999999999997</c:v>
                </c:pt>
                <c:pt idx="11">
                  <c:v>18.856000000000002</c:v>
                </c:pt>
                <c:pt idx="12">
                  <c:v>121.542</c:v>
                </c:pt>
                <c:pt idx="13">
                  <c:v>76.331000000000003</c:v>
                </c:pt>
                <c:pt idx="14">
                  <c:v>34.423999999999999</c:v>
                </c:pt>
                <c:pt idx="15">
                  <c:v>19.474</c:v>
                </c:pt>
                <c:pt idx="16">
                  <c:v>9.9710000000000001</c:v>
                </c:pt>
                <c:pt idx="17">
                  <c:v>32.780999999999999</c:v>
                </c:pt>
                <c:pt idx="18">
                  <c:v>274.92200000000003</c:v>
                </c:pt>
                <c:pt idx="19">
                  <c:v>171.51</c:v>
                </c:pt>
                <c:pt idx="20">
                  <c:v>78.046000000000006</c:v>
                </c:pt>
                <c:pt idx="21">
                  <c:v>43.58</c:v>
                </c:pt>
                <c:pt idx="22">
                  <c:v>22.69</c:v>
                </c:pt>
                <c:pt idx="23">
                  <c:v>75.572999999999993</c:v>
                </c:pt>
                <c:pt idx="24">
                  <c:v>275.322</c:v>
                </c:pt>
                <c:pt idx="25">
                  <c:v>169.19300000000001</c:v>
                </c:pt>
                <c:pt idx="26">
                  <c:v>78.132000000000005</c:v>
                </c:pt>
                <c:pt idx="27">
                  <c:v>43.529000000000003</c:v>
                </c:pt>
                <c:pt idx="28">
                  <c:v>22.036999999999999</c:v>
                </c:pt>
                <c:pt idx="29">
                  <c:v>75.664000000000001</c:v>
                </c:pt>
                <c:pt idx="30">
                  <c:v>488.24299999999999</c:v>
                </c:pt>
                <c:pt idx="31">
                  <c:v>303.49599999999998</c:v>
                </c:pt>
                <c:pt idx="32">
                  <c:v>139.47300000000001</c:v>
                </c:pt>
                <c:pt idx="33">
                  <c:v>77.167000000000002</c:v>
                </c:pt>
                <c:pt idx="34">
                  <c:v>39.939</c:v>
                </c:pt>
                <c:pt idx="35">
                  <c:v>132.94800000000001</c:v>
                </c:pt>
                <c:pt idx="36">
                  <c:v>488.76400000000001</c:v>
                </c:pt>
                <c:pt idx="37">
                  <c:v>303.62</c:v>
                </c:pt>
                <c:pt idx="38">
                  <c:v>138.39400000000001</c:v>
                </c:pt>
                <c:pt idx="39">
                  <c:v>75.596999999999994</c:v>
                </c:pt>
                <c:pt idx="40">
                  <c:v>38.646999999999998</c:v>
                </c:pt>
                <c:pt idx="41">
                  <c:v>131.84200000000001</c:v>
                </c:pt>
                <c:pt idx="42">
                  <c:v>488.77199999999999</c:v>
                </c:pt>
                <c:pt idx="43">
                  <c:v>303.05</c:v>
                </c:pt>
                <c:pt idx="44">
                  <c:v>138.142</c:v>
                </c:pt>
                <c:pt idx="45">
                  <c:v>76.933999999999997</c:v>
                </c:pt>
                <c:pt idx="46">
                  <c:v>39.048999999999999</c:v>
                </c:pt>
                <c:pt idx="47">
                  <c:v>132.93</c:v>
                </c:pt>
                <c:pt idx="48">
                  <c:v>1939.5160000000001</c:v>
                </c:pt>
                <c:pt idx="49">
                  <c:v>1203.271</c:v>
                </c:pt>
                <c:pt idx="50">
                  <c:v>554.74599999999998</c:v>
                </c:pt>
                <c:pt idx="51">
                  <c:v>306.48200000000003</c:v>
                </c:pt>
                <c:pt idx="52">
                  <c:v>156.69800000000001</c:v>
                </c:pt>
                <c:pt idx="53">
                  <c:v>525.971</c:v>
                </c:pt>
                <c:pt idx="54">
                  <c:v>1948.932</c:v>
                </c:pt>
                <c:pt idx="55">
                  <c:v>1213.193</c:v>
                </c:pt>
                <c:pt idx="56">
                  <c:v>551.60500000000002</c:v>
                </c:pt>
                <c:pt idx="57">
                  <c:v>308.14400000000001</c:v>
                </c:pt>
                <c:pt idx="58">
                  <c:v>157.04499999999999</c:v>
                </c:pt>
                <c:pt idx="59">
                  <c:v>532.22799999999995</c:v>
                </c:pt>
                <c:pt idx="60">
                  <c:v>1956.9459999999999</c:v>
                </c:pt>
                <c:pt idx="61">
                  <c:v>1206.7470000000001</c:v>
                </c:pt>
                <c:pt idx="62">
                  <c:v>554.86199999999997</c:v>
                </c:pt>
                <c:pt idx="63">
                  <c:v>306.03399999999999</c:v>
                </c:pt>
                <c:pt idx="64">
                  <c:v>154.89500000000001</c:v>
                </c:pt>
                <c:pt idx="65">
                  <c:v>529.36099999999999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F0-4A3F-96C9-6B7F49F9B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7940831"/>
        <c:axId val="1615567055"/>
      </c:barChart>
      <c:catAx>
        <c:axId val="1747940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×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15567055"/>
        <c:crosses val="autoZero"/>
        <c:auto val="1"/>
        <c:lblAlgn val="ctr"/>
        <c:lblOffset val="100"/>
        <c:noMultiLvlLbl val="0"/>
      </c:catAx>
      <c:valAx>
        <c:axId val="16155670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matrix (µJ)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4794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The silicon rate never changes; the delivered work does (325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Data'!$CZ$1</c:f>
              <c:strCache>
                <c:ptCount val="1"/>
                <c:pt idx="0">
                  <c:v>dense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Data'!$CY$2:$CY$12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Data'!$CZ$2:$CZ$12</c:f>
              <c:numCache>
                <c:formatCode>General</c:formatCode>
                <c:ptCount val="11"/>
                <c:pt idx="0">
                  <c:v>79.760000000000005</c:v>
                </c:pt>
                <c:pt idx="1">
                  <c:v>79.84</c:v>
                </c:pt>
                <c:pt idx="2">
                  <c:v>80.180000000000007</c:v>
                </c:pt>
                <c:pt idx="3">
                  <c:v>79.760000000000005</c:v>
                </c:pt>
                <c:pt idx="4">
                  <c:v>79.64</c:v>
                </c:pt>
                <c:pt idx="5">
                  <c:v>79.84</c:v>
                </c:pt>
                <c:pt idx="6">
                  <c:v>79.760000000000005</c:v>
                </c:pt>
                <c:pt idx="7">
                  <c:v>79.75</c:v>
                </c:pt>
                <c:pt idx="8">
                  <c:v>80.400000000000006</c:v>
                </c:pt>
                <c:pt idx="9">
                  <c:v>80.010000000000005</c:v>
                </c:pt>
                <c:pt idx="10">
                  <c:v>79.680000000000007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C-41AA-A15F-9E9FEA5DB569}"/>
            </c:ext>
          </c:extLst>
        </c:ser>
        <c:ser>
          <c:idx val="1"/>
          <c:order val="1"/>
          <c:tx>
            <c:strRef>
              <c:f>'Chart Data'!$DA$1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'Chart Data'!$CY$2:$CY$12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Data'!$DA$2:$DA$12</c:f>
              <c:numCache>
                <c:formatCode>General</c:formatCode>
                <c:ptCount val="11"/>
                <c:pt idx="0">
                  <c:v>80.349999999999994</c:v>
                </c:pt>
                <c:pt idx="1">
                  <c:v>80.37</c:v>
                </c:pt>
                <c:pt idx="2">
                  <c:v>80.069999999999993</c:v>
                </c:pt>
                <c:pt idx="3">
                  <c:v>80.180000000000007</c:v>
                </c:pt>
                <c:pt idx="4">
                  <c:v>81.28</c:v>
                </c:pt>
                <c:pt idx="5">
                  <c:v>80.56</c:v>
                </c:pt>
                <c:pt idx="6">
                  <c:v>80.52</c:v>
                </c:pt>
                <c:pt idx="7">
                  <c:v>80.680000000000007</c:v>
                </c:pt>
                <c:pt idx="8">
                  <c:v>81.27</c:v>
                </c:pt>
                <c:pt idx="9">
                  <c:v>80.61</c:v>
                </c:pt>
                <c:pt idx="10">
                  <c:v>81.040000000000006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C-41AA-A15F-9E9FEA5DB569}"/>
            </c:ext>
          </c:extLst>
        </c:ser>
        <c:ser>
          <c:idx val="2"/>
          <c:order val="2"/>
          <c:tx>
            <c:strRef>
              <c:f>'Chart Data'!$DB$1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'Chart Data'!$CY$2:$CY$12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Data'!$DB$2:$DB$12</c:f>
              <c:numCache>
                <c:formatCode>General</c:formatCode>
                <c:ptCount val="11"/>
                <c:pt idx="0">
                  <c:v>79.12</c:v>
                </c:pt>
                <c:pt idx="1">
                  <c:v>80.52</c:v>
                </c:pt>
                <c:pt idx="2">
                  <c:v>80.540000000000006</c:v>
                </c:pt>
                <c:pt idx="3">
                  <c:v>79.930000000000007</c:v>
                </c:pt>
                <c:pt idx="4">
                  <c:v>79.84</c:v>
                </c:pt>
                <c:pt idx="5">
                  <c:v>79.510000000000005</c:v>
                </c:pt>
                <c:pt idx="6">
                  <c:v>80.13</c:v>
                </c:pt>
                <c:pt idx="7">
                  <c:v>80.28</c:v>
                </c:pt>
                <c:pt idx="8">
                  <c:v>79.959999999999994</c:v>
                </c:pt>
                <c:pt idx="9">
                  <c:v>80.42</c:v>
                </c:pt>
                <c:pt idx="10">
                  <c:v>79.95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AC-41AA-A15F-9E9FEA5DB569}"/>
            </c:ext>
          </c:extLst>
        </c:ser>
        <c:ser>
          <c:idx val="3"/>
          <c:order val="3"/>
          <c:tx>
            <c:strRef>
              <c:f>'Chart Data'!$DC$1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E69F00"/>
            </a:solidFill>
            <a:ln>
              <a:noFill/>
            </a:ln>
            <a:effectLst/>
          </c:spPr>
          <c:invertIfNegative val="0"/>
          <c:cat>
            <c:strRef>
              <c:f>'Chart Data'!$CY$2:$CY$12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Data'!$DC$2:$DC$12</c:f>
              <c:numCache>
                <c:formatCode>General</c:formatCode>
                <c:ptCount val="11"/>
                <c:pt idx="0">
                  <c:v>78.650000000000006</c:v>
                </c:pt>
                <c:pt idx="1">
                  <c:v>78.81</c:v>
                </c:pt>
                <c:pt idx="2">
                  <c:v>79.19</c:v>
                </c:pt>
                <c:pt idx="3">
                  <c:v>79.62</c:v>
                </c:pt>
                <c:pt idx="4">
                  <c:v>79.709999999999994</c:v>
                </c:pt>
                <c:pt idx="5">
                  <c:v>79.94</c:v>
                </c:pt>
                <c:pt idx="6">
                  <c:v>81.599999999999994</c:v>
                </c:pt>
                <c:pt idx="7">
                  <c:v>80.180000000000007</c:v>
                </c:pt>
                <c:pt idx="8">
                  <c:v>80.510000000000005</c:v>
                </c:pt>
                <c:pt idx="9">
                  <c:v>80.08</c:v>
                </c:pt>
                <c:pt idx="10">
                  <c:v>80.63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AC-41AA-A15F-9E9FEA5DB569}"/>
            </c:ext>
          </c:extLst>
        </c:ser>
        <c:ser>
          <c:idx val="4"/>
          <c:order val="4"/>
          <c:tx>
            <c:strRef>
              <c:f>'Chart Data'!$DD$1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'Chart Data'!$CY$2:$CY$12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Data'!$DD$2:$DD$12</c:f>
              <c:numCache>
                <c:formatCode>General</c:formatCode>
                <c:ptCount val="11"/>
                <c:pt idx="0">
                  <c:v>76.48</c:v>
                </c:pt>
                <c:pt idx="1">
                  <c:v>78.010000000000005</c:v>
                </c:pt>
                <c:pt idx="2">
                  <c:v>78.900000000000006</c:v>
                </c:pt>
                <c:pt idx="3">
                  <c:v>78.010000000000005</c:v>
                </c:pt>
                <c:pt idx="4">
                  <c:v>80.319999999999993</c:v>
                </c:pt>
                <c:pt idx="5">
                  <c:v>78.790000000000006</c:v>
                </c:pt>
                <c:pt idx="6">
                  <c:v>81.42</c:v>
                </c:pt>
                <c:pt idx="7">
                  <c:v>80.59</c:v>
                </c:pt>
                <c:pt idx="8">
                  <c:v>80.33</c:v>
                </c:pt>
                <c:pt idx="9">
                  <c:v>80.150000000000006</c:v>
                </c:pt>
                <c:pt idx="10">
                  <c:v>81.260000000000005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AC-41AA-A15F-9E9FEA5DB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291119"/>
        <c:axId val="1615511855"/>
      </c:barChart>
      <c:catAx>
        <c:axId val="163929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×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15511855"/>
        <c:crosses val="autoZero"/>
        <c:auto val="1"/>
        <c:lblAlgn val="ctr"/>
        <c:lblOffset val="100"/>
        <c:noMultiLvlLbl val="0"/>
      </c:catAx>
      <c:valAx>
        <c:axId val="1615511855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(actual, non-zeros only)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3929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Latency per matrix across shapes and sparsities (325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Data'!$DG$1</c:f>
              <c:strCache>
                <c:ptCount val="1"/>
                <c:pt idx="0">
                  <c:v>dense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Data'!$DF$2:$DF$12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Data'!$DG$2:$DG$12</c:f>
              <c:numCache>
                <c:formatCode>General</c:formatCode>
                <c:ptCount val="11"/>
                <c:pt idx="0">
                  <c:v>6.5734000000000004</c:v>
                </c:pt>
                <c:pt idx="1">
                  <c:v>14.7746</c:v>
                </c:pt>
                <c:pt idx="2">
                  <c:v>26.155000000000001</c:v>
                </c:pt>
                <c:pt idx="3">
                  <c:v>59.161200000000001</c:v>
                </c:pt>
                <c:pt idx="4">
                  <c:v>59.247300000000003</c:v>
                </c:pt>
                <c:pt idx="5">
                  <c:v>105.0663</c:v>
                </c:pt>
                <c:pt idx="6">
                  <c:v>105.1784</c:v>
                </c:pt>
                <c:pt idx="7">
                  <c:v>105.1802</c:v>
                </c:pt>
                <c:pt idx="8">
                  <c:v>417.36939999999998</c:v>
                </c:pt>
                <c:pt idx="9">
                  <c:v>419.39580000000001</c:v>
                </c:pt>
                <c:pt idx="10">
                  <c:v>421.12040000000002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9-4638-9B1E-C034D66FAB23}"/>
            </c:ext>
          </c:extLst>
        </c:ser>
        <c:ser>
          <c:idx val="1"/>
          <c:order val="1"/>
          <c:tx>
            <c:strRef>
              <c:f>'Chart Data'!$DH$1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'Chart Data'!$DF$2:$DF$12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Data'!$DH$2:$DH$12</c:f>
              <c:numCache>
                <c:formatCode>General</c:formatCode>
                <c:ptCount val="11"/>
                <c:pt idx="0">
                  <c:v>3.2625000000000002</c:v>
                </c:pt>
                <c:pt idx="1">
                  <c:v>7.3384999999999998</c:v>
                </c:pt>
                <c:pt idx="2">
                  <c:v>13.095000000000001</c:v>
                </c:pt>
                <c:pt idx="3">
                  <c:v>29.4236</c:v>
                </c:pt>
                <c:pt idx="4">
                  <c:v>29.0261</c:v>
                </c:pt>
                <c:pt idx="5">
                  <c:v>52.066499999999998</c:v>
                </c:pt>
                <c:pt idx="6">
                  <c:v>52.087800000000001</c:v>
                </c:pt>
                <c:pt idx="7">
                  <c:v>51.990099999999998</c:v>
                </c:pt>
                <c:pt idx="8">
                  <c:v>206.42840000000001</c:v>
                </c:pt>
                <c:pt idx="9">
                  <c:v>208.13050000000001</c:v>
                </c:pt>
                <c:pt idx="10">
                  <c:v>207.0247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9-4638-9B1E-C034D66FAB23}"/>
            </c:ext>
          </c:extLst>
        </c:ser>
        <c:ser>
          <c:idx val="2"/>
          <c:order val="2"/>
          <c:tx>
            <c:strRef>
              <c:f>'Chart Data'!$DI$1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/>
          </c:spPr>
          <c:invertIfNegative val="0"/>
          <c:cat>
            <c:strRef>
              <c:f>'Chart Data'!$DF$2:$DF$12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Data'!$DI$2:$DI$12</c:f>
              <c:numCache>
                <c:formatCode>General</c:formatCode>
                <c:ptCount val="11"/>
                <c:pt idx="0">
                  <c:v>1.6567000000000001</c:v>
                </c:pt>
                <c:pt idx="1">
                  <c:v>3.6625999999999999</c:v>
                </c:pt>
                <c:pt idx="2">
                  <c:v>6.5098000000000003</c:v>
                </c:pt>
                <c:pt idx="3">
                  <c:v>14.759</c:v>
                </c:pt>
                <c:pt idx="4">
                  <c:v>14.7753</c:v>
                </c:pt>
                <c:pt idx="5">
                  <c:v>26.375299999999999</c:v>
                </c:pt>
                <c:pt idx="6">
                  <c:v>26.171299999999999</c:v>
                </c:pt>
                <c:pt idx="7">
                  <c:v>26.1236</c:v>
                </c:pt>
                <c:pt idx="8">
                  <c:v>104.90649999999999</c:v>
                </c:pt>
                <c:pt idx="9">
                  <c:v>104.3126</c:v>
                </c:pt>
                <c:pt idx="10">
                  <c:v>104.9286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9-4638-9B1E-C034D66FAB23}"/>
            </c:ext>
          </c:extLst>
        </c:ser>
        <c:ser>
          <c:idx val="3"/>
          <c:order val="3"/>
          <c:tx>
            <c:strRef>
              <c:f>'Chart Data'!$DJ$1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E69F00"/>
            </a:solidFill>
            <a:ln>
              <a:noFill/>
            </a:ln>
            <a:effectLst/>
          </c:spPr>
          <c:invertIfNegative val="0"/>
          <c:cat>
            <c:strRef>
              <c:f>'Chart Data'!$DF$2:$DF$12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Data'!$DJ$2:$DJ$12</c:f>
              <c:numCache>
                <c:formatCode>General</c:formatCode>
                <c:ptCount val="11"/>
                <c:pt idx="0">
                  <c:v>0.83330000000000004</c:v>
                </c:pt>
                <c:pt idx="1">
                  <c:v>1.871</c:v>
                </c:pt>
                <c:pt idx="2">
                  <c:v>3.3102999999999998</c:v>
                </c:pt>
                <c:pt idx="3">
                  <c:v>7.4077999999999999</c:v>
                </c:pt>
                <c:pt idx="4">
                  <c:v>7.3992000000000004</c:v>
                </c:pt>
                <c:pt idx="5">
                  <c:v>13.117000000000001</c:v>
                </c:pt>
                <c:pt idx="6">
                  <c:v>12.850099999999999</c:v>
                </c:pt>
                <c:pt idx="7">
                  <c:v>13.077400000000001</c:v>
                </c:pt>
                <c:pt idx="8">
                  <c:v>52.096200000000003</c:v>
                </c:pt>
                <c:pt idx="9">
                  <c:v>52.378799999999998</c:v>
                </c:pt>
                <c:pt idx="10">
                  <c:v>52.020099999999999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9-4638-9B1E-C034D66FAB23}"/>
            </c:ext>
          </c:extLst>
        </c:ser>
        <c:ser>
          <c:idx val="4"/>
          <c:order val="4"/>
          <c:tx>
            <c:strRef>
              <c:f>'Chart Data'!$DK$1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'Chart Data'!$DF$2:$DF$12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Data'!$DK$2:$DK$12</c:f>
              <c:numCache>
                <c:formatCode>General</c:formatCode>
                <c:ptCount val="11"/>
                <c:pt idx="0">
                  <c:v>0.4284</c:v>
                </c:pt>
                <c:pt idx="1">
                  <c:v>0.94510000000000005</c:v>
                </c:pt>
                <c:pt idx="2">
                  <c:v>1.6613</c:v>
                </c:pt>
                <c:pt idx="3">
                  <c:v>3.7804000000000002</c:v>
                </c:pt>
                <c:pt idx="4">
                  <c:v>3.6716000000000002</c:v>
                </c:pt>
                <c:pt idx="5">
                  <c:v>6.6542000000000003</c:v>
                </c:pt>
                <c:pt idx="6">
                  <c:v>6.4390000000000001</c:v>
                </c:pt>
                <c:pt idx="7">
                  <c:v>6.5060000000000002</c:v>
                </c:pt>
                <c:pt idx="8">
                  <c:v>26.107700000000001</c:v>
                </c:pt>
                <c:pt idx="9">
                  <c:v>26.165500000000002</c:v>
                </c:pt>
                <c:pt idx="10">
                  <c:v>25.807200000000002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09-4638-9B1E-C034D66FAB23}"/>
            </c:ext>
          </c:extLst>
        </c:ser>
        <c:ser>
          <c:idx val="5"/>
          <c:order val="5"/>
          <c:tx>
            <c:strRef>
              <c:f>'Chart Data'!$DL$1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00838F"/>
            </a:solidFill>
            <a:ln>
              <a:noFill/>
            </a:ln>
            <a:effectLst/>
          </c:spPr>
          <c:invertIfNegative val="0"/>
          <c:cat>
            <c:strRef>
              <c:f>'Chart Data'!$DF$2:$DF$12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Data'!$DL$2:$DL$12</c:f>
              <c:numCache>
                <c:formatCode>General</c:formatCode>
                <c:ptCount val="11"/>
                <c:pt idx="0">
                  <c:v>1.5274000000000001</c:v>
                </c:pt>
                <c:pt idx="1">
                  <c:v>3.4472</c:v>
                </c:pt>
                <c:pt idx="2">
                  <c:v>5.9927999999999999</c:v>
                </c:pt>
                <c:pt idx="3">
                  <c:v>13.815899999999999</c:v>
                </c:pt>
                <c:pt idx="4">
                  <c:v>13.8325</c:v>
                </c:pt>
                <c:pt idx="5">
                  <c:v>24.3049</c:v>
                </c:pt>
                <c:pt idx="6">
                  <c:v>24.102799999999998</c:v>
                </c:pt>
                <c:pt idx="7">
                  <c:v>24.3017</c:v>
                </c:pt>
                <c:pt idx="8">
                  <c:v>96.155600000000007</c:v>
                </c:pt>
                <c:pt idx="9">
                  <c:v>97.299400000000006</c:v>
                </c:pt>
                <c:pt idx="10">
                  <c:v>96.775400000000005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09-4638-9B1E-C034D66FA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302255"/>
        <c:axId val="1615504655"/>
      </c:barChart>
      <c:catAx>
        <c:axId val="1639302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×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15504655"/>
        <c:crosses val="autoZero"/>
        <c:auto val="1"/>
        <c:lblAlgn val="ctr"/>
        <c:lblOffset val="100"/>
        <c:noMultiLvlLbl val="0"/>
      </c:catAx>
      <c:valAx>
        <c:axId val="16155046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per matrix (µs,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3930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Effective GFLOPS at 300 vs 325 MHz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Data'!$CJ$1</c:f>
              <c:strCache>
                <c:ptCount val="1"/>
                <c:pt idx="0">
                  <c:v>300 MHz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Data'!$CI$2:$CI$7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Data'!$CJ$2:$CJ$7</c:f>
              <c:numCache>
                <c:formatCode>General</c:formatCode>
                <c:ptCount val="6"/>
                <c:pt idx="0">
                  <c:v>69.31</c:v>
                </c:pt>
                <c:pt idx="1">
                  <c:v>137.19</c:v>
                </c:pt>
                <c:pt idx="2">
                  <c:v>273.60000000000002</c:v>
                </c:pt>
                <c:pt idx="3">
                  <c:v>542.91999999999996</c:v>
                </c:pt>
                <c:pt idx="4">
                  <c:v>1073.04</c:v>
                </c:pt>
                <c:pt idx="5">
                  <c:v>288.45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C-421B-BBDD-5392C8F03CC5}"/>
            </c:ext>
          </c:extLst>
        </c:ser>
        <c:ser>
          <c:idx val="1"/>
          <c:order val="1"/>
          <c:tx>
            <c:strRef>
              <c:f>'Chart Data'!$CK$1</c:f>
              <c:strCache>
                <c:ptCount val="1"/>
                <c:pt idx="0">
                  <c:v>325 MHz</c:v>
                </c:pt>
              </c:strCache>
            </c:strRef>
          </c:tx>
          <c:spPr>
            <a:solidFill>
              <a:srgbClr val="E8762C"/>
            </a:solidFill>
            <a:ln>
              <a:noFill/>
            </a:ln>
            <a:effectLst/>
          </c:spPr>
          <c:invertIfNegative val="0"/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1,143.5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F1C-421B-BBDD-5392C8F03C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Data'!$CI$2:$CI$7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Data'!$CK$2:$CK$7</c:f>
              <c:numCache>
                <c:formatCode>General</c:formatCode>
                <c:ptCount val="6"/>
                <c:pt idx="0">
                  <c:v>75.3</c:v>
                </c:pt>
                <c:pt idx="1">
                  <c:v>146.97</c:v>
                </c:pt>
                <c:pt idx="2">
                  <c:v>293.44</c:v>
                </c:pt>
                <c:pt idx="3">
                  <c:v>585.07000000000005</c:v>
                </c:pt>
                <c:pt idx="4">
                  <c:v>1143.51</c:v>
                </c:pt>
                <c:pt idx="5">
                  <c:v>310.43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1C-421B-BBDD-5392C8F03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928655"/>
        <c:axId val="1330692271"/>
      </c:barChart>
      <c:catAx>
        <c:axId val="129692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0692271"/>
        <c:crosses val="autoZero"/>
        <c:auto val="1"/>
        <c:lblAlgn val="ctr"/>
        <c:lblOffset val="100"/>
        <c:noMultiLvlLbl val="0"/>
      </c:catAx>
      <c:valAx>
        <c:axId val="13306922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(effective)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9692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The silicon rate is fixed; only the delivered work changes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Data'!$CN$1</c:f>
              <c:strCache>
                <c:ptCount val="1"/>
                <c:pt idx="0">
                  <c:v>300 MHz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Data'!$CM$2:$CM$7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Data'!$CN$2:$CN$7</c:f>
              <c:numCache>
                <c:formatCode>General</c:formatCode>
                <c:ptCount val="6"/>
                <c:pt idx="0">
                  <c:v>69.31</c:v>
                </c:pt>
                <c:pt idx="1">
                  <c:v>68.599999999999994</c:v>
                </c:pt>
                <c:pt idx="2">
                  <c:v>68.400000000000006</c:v>
                </c:pt>
                <c:pt idx="3">
                  <c:v>67.86</c:v>
                </c:pt>
                <c:pt idx="4">
                  <c:v>67.06</c:v>
                </c:pt>
                <c:pt idx="5">
                  <c:v>67.61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0-483C-8B32-045ED2A61710}"/>
            </c:ext>
          </c:extLst>
        </c:ser>
        <c:ser>
          <c:idx val="1"/>
          <c:order val="1"/>
          <c:tx>
            <c:strRef>
              <c:f>'Chart Data'!$CO$1</c:f>
              <c:strCache>
                <c:ptCount val="1"/>
                <c:pt idx="0">
                  <c:v>325 MHz</c:v>
                </c:pt>
              </c:strCache>
            </c:strRef>
          </c:tx>
          <c:spPr>
            <a:solidFill>
              <a:srgbClr val="E8762C"/>
            </a:solidFill>
            <a:ln>
              <a:noFill/>
            </a:ln>
            <a:effectLst/>
          </c:spPr>
          <c:invertIfNegative val="0"/>
          <c:cat>
            <c:strRef>
              <c:f>'Chart Data'!$CM$2:$CM$7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Data'!$CO$2:$CO$7</c:f>
              <c:numCache>
                <c:formatCode>General</c:formatCode>
                <c:ptCount val="6"/>
                <c:pt idx="0">
                  <c:v>75.3</c:v>
                </c:pt>
                <c:pt idx="1">
                  <c:v>73.48</c:v>
                </c:pt>
                <c:pt idx="2">
                  <c:v>73.36</c:v>
                </c:pt>
                <c:pt idx="3">
                  <c:v>73.13</c:v>
                </c:pt>
                <c:pt idx="4">
                  <c:v>71.47</c:v>
                </c:pt>
                <c:pt idx="5">
                  <c:v>72.760000000000005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0-483C-8B32-045ED2A61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940719"/>
        <c:axId val="1330690351"/>
      </c:barChart>
      <c:catAx>
        <c:axId val="129694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0690351"/>
        <c:crosses val="autoZero"/>
        <c:auto val="1"/>
        <c:lblAlgn val="ctr"/>
        <c:lblOffset val="100"/>
        <c:noMultiLvlLbl val="0"/>
      </c:catAx>
      <c:valAx>
        <c:axId val="1330690351"/>
        <c:scaling>
          <c:orientation val="minMax"/>
          <c:max val="9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(actual, non-zeros only)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9694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Throughput scales linearly with clock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Data'!$CR$1</c:f>
              <c:strCache>
                <c:ptCount val="1"/>
                <c:pt idx="0">
                  <c:v>measured 325/300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Data'!$CQ$2:$CQ$7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Data'!$CR$2:$CR$7</c:f>
              <c:numCache>
                <c:formatCode>General</c:formatCode>
                <c:ptCount val="6"/>
                <c:pt idx="0">
                  <c:v>1.0802</c:v>
                </c:pt>
                <c:pt idx="1">
                  <c:v>1.0881000000000001</c:v>
                </c:pt>
                <c:pt idx="2">
                  <c:v>1.0788</c:v>
                </c:pt>
                <c:pt idx="3">
                  <c:v>1.0783</c:v>
                </c:pt>
                <c:pt idx="4">
                  <c:v>1.0843</c:v>
                </c:pt>
                <c:pt idx="5">
                  <c:v>1.0657000000000001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0-4F2D-9A54-3F5611266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852767"/>
        <c:axId val="1330851151"/>
      </c:barChart>
      <c:lineChart>
        <c:grouping val="standard"/>
        <c:varyColors val="0"/>
        <c:ser>
          <c:idx val="1"/>
          <c:order val="1"/>
          <c:tx>
            <c:strRef>
              <c:f>'Chart Data'!$CS$1</c:f>
              <c:strCache>
                <c:ptCount val="1"/>
                <c:pt idx="0">
                  <c:v>ideal (325/300)</c:v>
                </c:pt>
              </c:strCache>
            </c:strRef>
          </c:tx>
          <c:spPr>
            <a:ln w="25400" cap="rnd">
              <a:solidFill>
                <a:srgbClr val="80808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'Chart Data'!$CQ$2:$CQ$7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Data'!$CS$2:$CS$7</c:f>
              <c:numCache>
                <c:formatCode>General</c:formatCode>
                <c:ptCount val="6"/>
                <c:pt idx="0">
                  <c:v>1.0832999999999999</c:v>
                </c:pt>
                <c:pt idx="1">
                  <c:v>1.0832999999999999</c:v>
                </c:pt>
                <c:pt idx="2">
                  <c:v>1.0832999999999999</c:v>
                </c:pt>
                <c:pt idx="3">
                  <c:v>1.0832999999999999</c:v>
                </c:pt>
                <c:pt idx="4">
                  <c:v>1.0832999999999999</c:v>
                </c:pt>
                <c:pt idx="5">
                  <c:v>1.0832999999999999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0-4F2D-9A54-3F5611266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852767"/>
        <c:axId val="1330851151"/>
      </c:lineChart>
      <c:catAx>
        <c:axId val="1335852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0851151"/>
        <c:crosses val="autoZero"/>
        <c:auto val="1"/>
        <c:lblAlgn val="ctr"/>
        <c:lblOffset val="100"/>
        <c:noMultiLvlLbl val="0"/>
      </c:catAx>
      <c:valAx>
        <c:axId val="1330851151"/>
        <c:scaling>
          <c:orientation val="minMax"/>
          <c:max val="1.120000000000000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scaling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585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per row at 300 vs 325 MHz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Data'!$CV$1</c:f>
              <c:strCache>
                <c:ptCount val="1"/>
                <c:pt idx="0">
                  <c:v>300 MHz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Data'!$CU$2:$CU$7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Data'!$CV$2:$CV$7</c:f>
              <c:numCache>
                <c:formatCode>General</c:formatCode>
                <c:ptCount val="6"/>
                <c:pt idx="0">
                  <c:v>887.48400000000004</c:v>
                </c:pt>
                <c:pt idx="1">
                  <c:v>507.97399999999999</c:v>
                </c:pt>
                <c:pt idx="2">
                  <c:v>253.666</c:v>
                </c:pt>
                <c:pt idx="3">
                  <c:v>128.37100000000001</c:v>
                </c:pt>
                <c:pt idx="4">
                  <c:v>65.126000000000005</c:v>
                </c:pt>
                <c:pt idx="5">
                  <c:v>236.75800000000001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1-4FAE-BEBB-9732C31AEE42}"/>
            </c:ext>
          </c:extLst>
        </c:ser>
        <c:ser>
          <c:idx val="1"/>
          <c:order val="1"/>
          <c:tx>
            <c:strRef>
              <c:f>'Chart Data'!$CW$1</c:f>
              <c:strCache>
                <c:ptCount val="1"/>
                <c:pt idx="0">
                  <c:v>325 MHz</c:v>
                </c:pt>
              </c:strCache>
            </c:strRef>
          </c:tx>
          <c:spPr>
            <a:solidFill>
              <a:srgbClr val="E8762C"/>
            </a:solidFill>
            <a:ln>
              <a:noFill/>
            </a:ln>
            <a:effectLst/>
          </c:spPr>
          <c:invertIfNegative val="0"/>
          <c:cat>
            <c:strRef>
              <c:f>'Chart Data'!$CU$2:$CU$7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Data'!$CW$2:$CW$7</c:f>
              <c:numCache>
                <c:formatCode>General</c:formatCode>
                <c:ptCount val="6"/>
                <c:pt idx="0">
                  <c:v>832.77700000000004</c:v>
                </c:pt>
                <c:pt idx="1">
                  <c:v>474.11099999999999</c:v>
                </c:pt>
                <c:pt idx="2">
                  <c:v>235.97800000000001</c:v>
                </c:pt>
                <c:pt idx="3">
                  <c:v>121.31</c:v>
                </c:pt>
                <c:pt idx="4">
                  <c:v>61.447000000000003</c:v>
                </c:pt>
                <c:pt idx="5">
                  <c:v>224.809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91-4FAE-BEBB-9732C31AE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6922159"/>
        <c:axId val="1330854031"/>
      </c:barChart>
      <c:catAx>
        <c:axId val="129692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330854031"/>
        <c:crosses val="autoZero"/>
        <c:auto val="1"/>
        <c:lblAlgn val="ctr"/>
        <c:lblOffset val="100"/>
        <c:noMultiLvlLbl val="0"/>
      </c:catAx>
      <c:valAx>
        <c:axId val="13308540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row (nJ, board power)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29692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Speed-up vs dense across 11 GEMV shapes (300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Data'!$A$2:$A$13</c:f>
              <c:strCache>
                <c:ptCount val="12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  <c:pt idx="6">
                  <c:v>G7</c:v>
                </c:pt>
                <c:pt idx="7">
                  <c:v>G8</c:v>
                </c:pt>
                <c:pt idx="8">
                  <c:v>G9</c:v>
                </c:pt>
                <c:pt idx="9">
                  <c:v>G10</c:v>
                </c:pt>
                <c:pt idx="10">
                  <c:v>G11</c:v>
                </c:pt>
                <c:pt idx="11">
                  <c:v>GEOMEAN</c:v>
                </c:pt>
              </c:strCache>
            </c:strRef>
          </c:cat>
          <c:val>
            <c:numRef>
              <c:f>'Chart Data'!$B$2:$B$13</c:f>
              <c:numCache>
                <c:formatCode>General</c:formatCode>
                <c:ptCount val="12"/>
                <c:pt idx="0">
                  <c:v>2.0023</c:v>
                </c:pt>
                <c:pt idx="1">
                  <c:v>2.0306999999999999</c:v>
                </c:pt>
                <c:pt idx="2">
                  <c:v>1.9512</c:v>
                </c:pt>
                <c:pt idx="3">
                  <c:v>1.9790000000000001</c:v>
                </c:pt>
                <c:pt idx="4">
                  <c:v>2.0023</c:v>
                </c:pt>
                <c:pt idx="5">
                  <c:v>2.0194999999999999</c:v>
                </c:pt>
                <c:pt idx="6">
                  <c:v>1.9978</c:v>
                </c:pt>
                <c:pt idx="7">
                  <c:v>1.9745999999999999</c:v>
                </c:pt>
                <c:pt idx="8">
                  <c:v>2.0206</c:v>
                </c:pt>
                <c:pt idx="9">
                  <c:v>2.0022000000000002</c:v>
                </c:pt>
                <c:pt idx="10">
                  <c:v>2.02</c:v>
                </c:pt>
                <c:pt idx="11">
                  <c:v>1.9999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C-4AEB-8B60-EED740309F43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Data'!$A$2:$A$13</c:f>
              <c:strCache>
                <c:ptCount val="12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  <c:pt idx="6">
                  <c:v>G7</c:v>
                </c:pt>
                <c:pt idx="7">
                  <c:v>G8</c:v>
                </c:pt>
                <c:pt idx="8">
                  <c:v>G9</c:v>
                </c:pt>
                <c:pt idx="9">
                  <c:v>G10</c:v>
                </c:pt>
                <c:pt idx="10">
                  <c:v>G11</c:v>
                </c:pt>
                <c:pt idx="11">
                  <c:v>GEOMEAN</c:v>
                </c:pt>
              </c:strCache>
            </c:strRef>
          </c:cat>
          <c:val>
            <c:numRef>
              <c:f>'Chart Data'!$C$2:$C$13</c:f>
              <c:numCache>
                <c:formatCode>General</c:formatCode>
                <c:ptCount val="12"/>
                <c:pt idx="0">
                  <c:v>3.8917999999999999</c:v>
                </c:pt>
                <c:pt idx="1">
                  <c:v>3.9712000000000001</c:v>
                </c:pt>
                <c:pt idx="2">
                  <c:v>3.8723999999999998</c:v>
                </c:pt>
                <c:pt idx="3">
                  <c:v>3.9333999999999998</c:v>
                </c:pt>
                <c:pt idx="4">
                  <c:v>4.0072999999999999</c:v>
                </c:pt>
                <c:pt idx="5">
                  <c:v>3.9889000000000001</c:v>
                </c:pt>
                <c:pt idx="6">
                  <c:v>3.9828999999999999</c:v>
                </c:pt>
                <c:pt idx="7">
                  <c:v>3.9630000000000001</c:v>
                </c:pt>
                <c:pt idx="8">
                  <c:v>3.9729000000000001</c:v>
                </c:pt>
                <c:pt idx="9">
                  <c:v>3.9874999999999998</c:v>
                </c:pt>
                <c:pt idx="10">
                  <c:v>4.0167999999999999</c:v>
                </c:pt>
                <c:pt idx="11">
                  <c:v>3.9622999999999999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0C-4AEB-8B60-EED740309F43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Data'!$A$2:$A$13</c:f>
              <c:strCache>
                <c:ptCount val="12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  <c:pt idx="6">
                  <c:v>G7</c:v>
                </c:pt>
                <c:pt idx="7">
                  <c:v>G8</c:v>
                </c:pt>
                <c:pt idx="8">
                  <c:v>G9</c:v>
                </c:pt>
                <c:pt idx="9">
                  <c:v>G10</c:v>
                </c:pt>
                <c:pt idx="10">
                  <c:v>G11</c:v>
                </c:pt>
                <c:pt idx="11">
                  <c:v>GEOMEAN</c:v>
                </c:pt>
              </c:strCache>
            </c:strRef>
          </c:cat>
          <c:val>
            <c:numRef>
              <c:f>'Chart Data'!$D$2:$D$13</c:f>
              <c:numCache>
                <c:formatCode>General</c:formatCode>
                <c:ptCount val="12"/>
                <c:pt idx="0">
                  <c:v>7.7542</c:v>
                </c:pt>
                <c:pt idx="1">
                  <c:v>7.8612000000000002</c:v>
                </c:pt>
                <c:pt idx="2">
                  <c:v>7.7714999999999996</c:v>
                </c:pt>
                <c:pt idx="3">
                  <c:v>7.8708</c:v>
                </c:pt>
                <c:pt idx="4">
                  <c:v>8.0741999999999994</c:v>
                </c:pt>
                <c:pt idx="5">
                  <c:v>7.9565999999999999</c:v>
                </c:pt>
                <c:pt idx="6">
                  <c:v>7.9751000000000003</c:v>
                </c:pt>
                <c:pt idx="7">
                  <c:v>8.0017999999999994</c:v>
                </c:pt>
                <c:pt idx="8">
                  <c:v>7.9962999999999997</c:v>
                </c:pt>
                <c:pt idx="9">
                  <c:v>7.9686000000000003</c:v>
                </c:pt>
                <c:pt idx="10">
                  <c:v>8.0263000000000009</c:v>
                </c:pt>
                <c:pt idx="11">
                  <c:v>7.9318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C-4AEB-8B60-EED740309F43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Data'!$A$2:$A$13</c:f>
              <c:strCache>
                <c:ptCount val="12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  <c:pt idx="6">
                  <c:v>G7</c:v>
                </c:pt>
                <c:pt idx="7">
                  <c:v>G8</c:v>
                </c:pt>
                <c:pt idx="8">
                  <c:v>G9</c:v>
                </c:pt>
                <c:pt idx="9">
                  <c:v>G10</c:v>
                </c:pt>
                <c:pt idx="10">
                  <c:v>G11</c:v>
                </c:pt>
                <c:pt idx="11">
                  <c:v>GEOMEAN</c:v>
                </c:pt>
              </c:strCache>
            </c:strRef>
          </c:cat>
          <c:val>
            <c:numRef>
              <c:f>'Chart Data'!$E$2:$E$13</c:f>
              <c:numCache>
                <c:formatCode>General</c:formatCode>
                <c:ptCount val="12"/>
                <c:pt idx="0">
                  <c:v>15.1937</c:v>
                </c:pt>
                <c:pt idx="1">
                  <c:v>15.7401</c:v>
                </c:pt>
                <c:pt idx="2">
                  <c:v>15.5015</c:v>
                </c:pt>
                <c:pt idx="3">
                  <c:v>15.4823</c:v>
                </c:pt>
                <c:pt idx="4">
                  <c:v>16.191600000000001</c:v>
                </c:pt>
                <c:pt idx="5">
                  <c:v>15.760300000000001</c:v>
                </c:pt>
                <c:pt idx="6">
                  <c:v>16.0367</c:v>
                </c:pt>
                <c:pt idx="7">
                  <c:v>15.825799999999999</c:v>
                </c:pt>
                <c:pt idx="8">
                  <c:v>16.005600000000001</c:v>
                </c:pt>
                <c:pt idx="9">
                  <c:v>15.956899999999999</c:v>
                </c:pt>
                <c:pt idx="10">
                  <c:v>16.263200000000001</c:v>
                </c:pt>
                <c:pt idx="11">
                  <c:v>15.811299999999999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0C-4AEB-8B60-EED740309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134287"/>
        <c:axId val="1665604015"/>
      </c:barChart>
      <c:catAx>
        <c:axId val="166513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shape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604015"/>
        <c:crosses val="autoZero"/>
        <c:auto val="1"/>
        <c:lblAlgn val="ctr"/>
        <c:lblOffset val="100"/>
        <c:noMultiLvlLbl val="0"/>
      </c:catAx>
      <c:valAx>
        <c:axId val="166560401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Speed-up vs dense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13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Effective GFLOPS by sparsity and clock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300 MHz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Data'!$G$2:$G$7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Data'!$H$2:$H$7</c:f>
              <c:numCache>
                <c:formatCode>General</c:formatCode>
                <c:ptCount val="6"/>
                <c:pt idx="0">
                  <c:v>69.31</c:v>
                </c:pt>
                <c:pt idx="1">
                  <c:v>137.19</c:v>
                </c:pt>
                <c:pt idx="2">
                  <c:v>273.60000000000002</c:v>
                </c:pt>
                <c:pt idx="3">
                  <c:v>542.91999999999996</c:v>
                </c:pt>
                <c:pt idx="4">
                  <c:v>1073.04</c:v>
                </c:pt>
                <c:pt idx="5">
                  <c:v>288.45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1-4AEE-B043-1EAFB967468E}"/>
            </c:ext>
          </c:extLst>
        </c:ser>
        <c:ser>
          <c:idx val="1"/>
          <c:order val="1"/>
          <c:tx>
            <c:strRef>
              <c:f>'Chart Data'!$I$1</c:f>
              <c:strCache>
                <c:ptCount val="1"/>
                <c:pt idx="0">
                  <c:v>325 MHz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Data'!$G$2:$G$7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Data'!$I$2:$I$7</c:f>
              <c:numCache>
                <c:formatCode>General</c:formatCode>
                <c:ptCount val="6"/>
                <c:pt idx="0">
                  <c:v>75.3</c:v>
                </c:pt>
                <c:pt idx="1">
                  <c:v>146.97</c:v>
                </c:pt>
                <c:pt idx="2">
                  <c:v>293.44</c:v>
                </c:pt>
                <c:pt idx="3">
                  <c:v>585.07000000000005</c:v>
                </c:pt>
                <c:pt idx="4">
                  <c:v>1143.51</c:v>
                </c:pt>
                <c:pt idx="5">
                  <c:v>310.43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1-4AEE-B043-1EAFB96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762991"/>
        <c:axId val="1665643375"/>
      </c:barChart>
      <c:catAx>
        <c:axId val="1678762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Sparsity pattern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643375"/>
        <c:crosses val="autoZero"/>
        <c:auto val="1"/>
        <c:lblAlgn val="ctr"/>
        <c:lblOffset val="100"/>
        <c:noMultiLvlLbl val="0"/>
      </c:catAx>
      <c:valAx>
        <c:axId val="16656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 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7876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per DSP: actual rate constant, delivered work is not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Data'!$Q$1</c:f>
              <c:strCache>
                <c:ptCount val="1"/>
                <c:pt idx="0">
                  <c:v>GFLOPS actual per DSP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Data'!$P$2:$P$7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Data'!$Q$2:$Q$7</c:f>
              <c:numCache>
                <c:formatCode>General</c:formatCode>
                <c:ptCount val="6"/>
                <c:pt idx="0">
                  <c:v>0.13539999999999999</c:v>
                </c:pt>
                <c:pt idx="1">
                  <c:v>0.13400000000000001</c:v>
                </c:pt>
                <c:pt idx="2">
                  <c:v>0.1336</c:v>
                </c:pt>
                <c:pt idx="3">
                  <c:v>0.13250000000000001</c:v>
                </c:pt>
                <c:pt idx="4">
                  <c:v>0.13100000000000001</c:v>
                </c:pt>
                <c:pt idx="5">
                  <c:v>0.1321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8C-43B0-9CF6-96E2E20EC20F}"/>
            </c:ext>
          </c:extLst>
        </c:ser>
        <c:ser>
          <c:idx val="1"/>
          <c:order val="1"/>
          <c:tx>
            <c:strRef>
              <c:f>'Chart Data'!$R$1</c:f>
              <c:strCache>
                <c:ptCount val="1"/>
                <c:pt idx="0">
                  <c:v>GFLOPS effective per DSP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Data'!$P$2:$P$7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Data'!$R$2:$R$7</c:f>
              <c:numCache>
                <c:formatCode>General</c:formatCode>
                <c:ptCount val="6"/>
                <c:pt idx="0">
                  <c:v>0.13539999999999999</c:v>
                </c:pt>
                <c:pt idx="1">
                  <c:v>0.26800000000000002</c:v>
                </c:pt>
                <c:pt idx="2">
                  <c:v>0.53439999999999999</c:v>
                </c:pt>
                <c:pt idx="3">
                  <c:v>1.0604</c:v>
                </c:pt>
                <c:pt idx="4">
                  <c:v>2.0958000000000001</c:v>
                </c:pt>
                <c:pt idx="5">
                  <c:v>0.56340000000000001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8C-43B0-9CF6-96E2E20EC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142271"/>
        <c:axId val="1665670735"/>
      </c:lineChart>
      <c:catAx>
        <c:axId val="1687142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Sparsity pattern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670735"/>
        <c:crosses val="autoZero"/>
        <c:auto val="1"/>
        <c:lblAlgn val="ctr"/>
        <c:lblOffset val="100"/>
        <c:noMultiLvlLbl val="0"/>
      </c:catAx>
      <c:valAx>
        <c:axId val="166567073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per DSP (log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8714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DSP occupancy during compute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Data'!$V$1</c:f>
              <c:strCache>
                <c:ptCount val="1"/>
                <c:pt idx="0">
                  <c:v>300 MHz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Data'!$U$2:$U$7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Data'!$V$2:$V$7</c:f>
              <c:numCache>
                <c:formatCode>General</c:formatCode>
                <c:ptCount val="6"/>
                <c:pt idx="0">
                  <c:v>0.95920000000000005</c:v>
                </c:pt>
                <c:pt idx="1">
                  <c:v>0.96989999999999998</c:v>
                </c:pt>
                <c:pt idx="2">
                  <c:v>0.96030000000000004</c:v>
                </c:pt>
                <c:pt idx="3">
                  <c:v>0.95669999999999999</c:v>
                </c:pt>
                <c:pt idx="4">
                  <c:v>0.95499999999999996</c:v>
                </c:pt>
                <c:pt idx="5">
                  <c:v>0.96930000000000005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0-4E00-AC0B-D014D68A8DE2}"/>
            </c:ext>
          </c:extLst>
        </c:ser>
        <c:ser>
          <c:idx val="1"/>
          <c:order val="1"/>
          <c:tx>
            <c:strRef>
              <c:f>'Chart Data'!$W$1</c:f>
              <c:strCache>
                <c:ptCount val="1"/>
                <c:pt idx="0">
                  <c:v>325 MHz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Data'!$U$2:$U$7</c:f>
              <c:strCache>
                <c:ptCount val="6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  <c:pt idx="5">
                  <c:v>MIXED</c:v>
                </c:pt>
              </c:strCache>
            </c:strRef>
          </c:cat>
          <c:val>
            <c:numRef>
              <c:f>'Chart Data'!$W$2:$W$7</c:f>
              <c:numCache>
                <c:formatCode>General</c:formatCode>
                <c:ptCount val="6"/>
                <c:pt idx="0">
                  <c:v>0.96709999999999996</c:v>
                </c:pt>
                <c:pt idx="1">
                  <c:v>0.96499999999999997</c:v>
                </c:pt>
                <c:pt idx="2">
                  <c:v>0.95620000000000005</c:v>
                </c:pt>
                <c:pt idx="3">
                  <c:v>0.95779999999999998</c:v>
                </c:pt>
                <c:pt idx="4">
                  <c:v>0.94530000000000003</c:v>
                </c:pt>
                <c:pt idx="5">
                  <c:v>0.97040000000000004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E0-4E00-AC0B-D014D68A8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366367"/>
        <c:axId val="1665418255"/>
      </c:barChart>
      <c:catAx>
        <c:axId val="1692366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Sparsity pattern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418255"/>
        <c:crosses val="autoZero"/>
        <c:auto val="1"/>
        <c:lblAlgn val="ctr"/>
        <c:lblOffset val="100"/>
        <c:noMultiLvlLbl val="0"/>
      </c:catAx>
      <c:valAx>
        <c:axId val="1665418255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DSP occupancy (fraction)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9236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row (board power)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Data'!$Z$1</c:f>
              <c:strCache>
                <c:ptCount val="1"/>
                <c:pt idx="0">
                  <c:v>300 MHz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Data'!$Y$2:$Y$6</c:f>
              <c:strCache>
                <c:ptCount val="5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</c:strCache>
            </c:strRef>
          </c:cat>
          <c:val>
            <c:numRef>
              <c:f>'Chart Data'!$Z$2:$Z$6</c:f>
              <c:numCache>
                <c:formatCode>General</c:formatCode>
                <c:ptCount val="5"/>
                <c:pt idx="0">
                  <c:v>887.5</c:v>
                </c:pt>
                <c:pt idx="1">
                  <c:v>508</c:v>
                </c:pt>
                <c:pt idx="2">
                  <c:v>253.7</c:v>
                </c:pt>
                <c:pt idx="3">
                  <c:v>128.4</c:v>
                </c:pt>
                <c:pt idx="4">
                  <c:v>65.099999999999994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1-4F4D-B07A-F213CBD46A4D}"/>
            </c:ext>
          </c:extLst>
        </c:ser>
        <c:ser>
          <c:idx val="1"/>
          <c:order val="1"/>
          <c:tx>
            <c:strRef>
              <c:f>'Chart Data'!$AA$1</c:f>
              <c:strCache>
                <c:ptCount val="1"/>
                <c:pt idx="0">
                  <c:v>325 MHz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Data'!$Y$2:$Y$6</c:f>
              <c:strCache>
                <c:ptCount val="5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</c:strCache>
            </c:strRef>
          </c:cat>
          <c:val>
            <c:numRef>
              <c:f>'Chart Data'!$AA$2:$AA$6</c:f>
              <c:numCache>
                <c:formatCode>General</c:formatCode>
                <c:ptCount val="5"/>
                <c:pt idx="0">
                  <c:v>832.8</c:v>
                </c:pt>
                <c:pt idx="1">
                  <c:v>474.1</c:v>
                </c:pt>
                <c:pt idx="2">
                  <c:v>236</c:v>
                </c:pt>
                <c:pt idx="3">
                  <c:v>121.3</c:v>
                </c:pt>
                <c:pt idx="4">
                  <c:v>61.4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1-4F4D-B07A-F213CBD46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363119"/>
        <c:axId val="1665454255"/>
      </c:barChart>
      <c:catAx>
        <c:axId val="169236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Sparsity pattern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454255"/>
        <c:crosses val="autoZero"/>
        <c:auto val="1"/>
        <c:lblAlgn val="ctr"/>
        <c:lblOffset val="100"/>
        <c:noMultiLvlLbl val="0"/>
      </c:catAx>
      <c:valAx>
        <c:axId val="16654542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row (nJ,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9236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Board power is flat across sparsity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Data'!$AD$1</c:f>
              <c:strCache>
                <c:ptCount val="1"/>
                <c:pt idx="0">
                  <c:v>Board load (W)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Data'!$AC$2:$AC$6</c:f>
              <c:strCache>
                <c:ptCount val="5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</c:strCache>
            </c:strRef>
          </c:cat>
          <c:val>
            <c:numRef>
              <c:f>'Chart Data'!$AD$2:$AD$6</c:f>
              <c:numCache>
                <c:formatCode>General</c:formatCode>
                <c:ptCount val="5"/>
                <c:pt idx="0">
                  <c:v>31.297000000000001</c:v>
                </c:pt>
                <c:pt idx="1">
                  <c:v>35.442</c:v>
                </c:pt>
                <c:pt idx="2">
                  <c:v>35.326999999999998</c:v>
                </c:pt>
                <c:pt idx="3">
                  <c:v>35.412999999999997</c:v>
                </c:pt>
                <c:pt idx="4">
                  <c:v>35.521000000000001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4F-499A-82E3-94AEC1D13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988575"/>
        <c:axId val="1665447535"/>
      </c:lineChart>
      <c:catAx>
        <c:axId val="168398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Sparsity pattern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447535"/>
        <c:crosses val="autoZero"/>
        <c:auto val="1"/>
        <c:lblAlgn val="ctr"/>
        <c:lblOffset val="100"/>
        <c:noMultiLvlLbl val="0"/>
      </c:catAx>
      <c:valAx>
        <c:axId val="1665447535"/>
        <c:scaling>
          <c:orientation val="minMax"/>
          <c:max val="38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 load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8398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matrix with four different sparsities costs the sum of its parts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Data'!$AG$1</c:f>
              <c:strCache>
                <c:ptCount val="1"/>
                <c:pt idx="0">
                  <c:v>2:4 segment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Data'!$AF$2:$AF$3</c:f>
              <c:strCache>
                <c:ptCount val="2"/>
                <c:pt idx="0">
                  <c:v>Predicted</c:v>
                </c:pt>
                <c:pt idx="1">
                  <c:v>Measured</c:v>
                </c:pt>
              </c:strCache>
            </c:strRef>
          </c:cat>
          <c:val>
            <c:numRef>
              <c:f>'Chart Data'!$AG$2:$AG$3</c:f>
              <c:numCache>
                <c:formatCode>General</c:formatCode>
                <c:ptCount val="2"/>
                <c:pt idx="0">
                  <c:v>3571.4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7-4E6D-A743-19F3EB79FDE2}"/>
            </c:ext>
          </c:extLst>
        </c:ser>
        <c:ser>
          <c:idx val="1"/>
          <c:order val="1"/>
          <c:tx>
            <c:strRef>
              <c:f>'Chart Data'!$AH$1</c:f>
              <c:strCache>
                <c:ptCount val="1"/>
                <c:pt idx="0">
                  <c:v>2:8 segment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Data'!$AF$2:$AF$3</c:f>
              <c:strCache>
                <c:ptCount val="2"/>
                <c:pt idx="0">
                  <c:v>Predicted</c:v>
                </c:pt>
                <c:pt idx="1">
                  <c:v>Measured</c:v>
                </c:pt>
              </c:strCache>
            </c:strRef>
          </c:cat>
          <c:val>
            <c:numRef>
              <c:f>'Chart Data'!$AH$2:$AH$3</c:f>
              <c:numCache>
                <c:formatCode>General</c:formatCode>
                <c:ptCount val="2"/>
                <c:pt idx="0">
                  <c:v>1789.9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7-4E6D-A743-19F3EB79FDE2}"/>
            </c:ext>
          </c:extLst>
        </c:ser>
        <c:ser>
          <c:idx val="2"/>
          <c:order val="2"/>
          <c:tx>
            <c:strRef>
              <c:f>'Chart Data'!$AI$1</c:f>
              <c:strCache>
                <c:ptCount val="1"/>
                <c:pt idx="0">
                  <c:v>2:16 segment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Data'!$AF$2:$AF$3</c:f>
              <c:strCache>
                <c:ptCount val="2"/>
                <c:pt idx="0">
                  <c:v>Predicted</c:v>
                </c:pt>
                <c:pt idx="1">
                  <c:v>Measured</c:v>
                </c:pt>
              </c:strCache>
            </c:strRef>
          </c:cat>
          <c:val>
            <c:numRef>
              <c:f>'Chart Data'!$AI$2:$AI$3</c:f>
              <c:numCache>
                <c:formatCode>General</c:formatCode>
                <c:ptCount val="2"/>
                <c:pt idx="0">
                  <c:v>901.8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67-4E6D-A743-19F3EB79FDE2}"/>
            </c:ext>
          </c:extLst>
        </c:ser>
        <c:ser>
          <c:idx val="3"/>
          <c:order val="3"/>
          <c:tx>
            <c:strRef>
              <c:f>'Chart Data'!$AJ$1</c:f>
              <c:strCache>
                <c:ptCount val="1"/>
                <c:pt idx="0">
                  <c:v>2:32 segment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Data'!$AF$2:$AF$3</c:f>
              <c:strCache>
                <c:ptCount val="2"/>
                <c:pt idx="0">
                  <c:v>Predicted</c:v>
                </c:pt>
                <c:pt idx="1">
                  <c:v>Measured</c:v>
                </c:pt>
              </c:strCache>
            </c:strRef>
          </c:cat>
          <c:val>
            <c:numRef>
              <c:f>'Chart Data'!$AJ$2:$AJ$3</c:f>
              <c:numCache>
                <c:formatCode>General</c:formatCode>
                <c:ptCount val="2"/>
                <c:pt idx="0">
                  <c:v>453.4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67-4E6D-A743-19F3EB79FDE2}"/>
            </c:ext>
          </c:extLst>
        </c:ser>
        <c:ser>
          <c:idx val="4"/>
          <c:order val="4"/>
          <c:tx>
            <c:strRef>
              <c:f>'Chart Data'!$AK$1</c:f>
              <c:strCache>
                <c:ptCount val="1"/>
                <c:pt idx="0">
                  <c:v>launch overhead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'Chart Data'!$AF$2:$AF$3</c:f>
              <c:strCache>
                <c:ptCount val="2"/>
                <c:pt idx="0">
                  <c:v>Predicted</c:v>
                </c:pt>
                <c:pt idx="1">
                  <c:v>Measured</c:v>
                </c:pt>
              </c:strCache>
            </c:strRef>
          </c:cat>
          <c:val>
            <c:numRef>
              <c:f>'Chart Data'!$AK$2:$AK$3</c:f>
              <c:numCache>
                <c:formatCode>General</c:formatCode>
                <c:ptCount val="2"/>
                <c:pt idx="0">
                  <c:v>700.7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67-4E6D-A743-19F3EB79FDE2}"/>
            </c:ext>
          </c:extLst>
        </c:ser>
        <c:ser>
          <c:idx val="5"/>
          <c:order val="5"/>
          <c:tx>
            <c:strRef>
              <c:f>'Chart Data'!$AL$1</c:f>
              <c:strCache>
                <c:ptCount val="1"/>
                <c:pt idx="0">
                  <c:v>Measured kernel span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'Chart Data'!$AF$2:$AF$3</c:f>
              <c:strCache>
                <c:ptCount val="2"/>
                <c:pt idx="0">
                  <c:v>Predicted</c:v>
                </c:pt>
                <c:pt idx="1">
                  <c:v>Measured</c:v>
                </c:pt>
              </c:strCache>
            </c:strRef>
          </c:cat>
          <c:val>
            <c:numRef>
              <c:f>'Chart Data'!$AL$2:$AL$3</c:f>
              <c:numCache>
                <c:formatCode>General</c:formatCode>
                <c:ptCount val="2"/>
                <c:pt idx="1">
                  <c:v>7417.2169999999996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67-4E6D-A743-19F3EB79F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3998783"/>
        <c:axId val="1665472975"/>
      </c:barChart>
      <c:catAx>
        <c:axId val="168399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472975"/>
        <c:crosses val="autoZero"/>
        <c:auto val="1"/>
        <c:lblAlgn val="ctr"/>
        <c:lblOffset val="100"/>
        <c:noMultiLvlLbl val="0"/>
      </c:catAx>
      <c:valAx>
        <c:axId val="166547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8399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GFLOPS is constant across every shape and every sparsity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Data'!$BD$1</c:f>
              <c:strCache>
                <c:ptCount val="1"/>
                <c:pt idx="0">
                  <c:v>dense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Data'!$BC$2:$BC$12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Data'!$BD$2:$BD$12</c:f>
              <c:numCache>
                <c:formatCode>General</c:formatCode>
                <c:ptCount val="11"/>
                <c:pt idx="0">
                  <c:v>74.099999999999994</c:v>
                </c:pt>
                <c:pt idx="1">
                  <c:v>73.56</c:v>
                </c:pt>
                <c:pt idx="2">
                  <c:v>75.48</c:v>
                </c:pt>
                <c:pt idx="3">
                  <c:v>74.52</c:v>
                </c:pt>
                <c:pt idx="4">
                  <c:v>73.94</c:v>
                </c:pt>
                <c:pt idx="5">
                  <c:v>73.849999999999994</c:v>
                </c:pt>
                <c:pt idx="6">
                  <c:v>74.2</c:v>
                </c:pt>
                <c:pt idx="7">
                  <c:v>74.45</c:v>
                </c:pt>
                <c:pt idx="8">
                  <c:v>74.17</c:v>
                </c:pt>
                <c:pt idx="9">
                  <c:v>73.91</c:v>
                </c:pt>
                <c:pt idx="10">
                  <c:v>73.790000000000006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9-4797-AF8F-09B1EA15462A}"/>
            </c:ext>
          </c:extLst>
        </c:ser>
        <c:ser>
          <c:idx val="1"/>
          <c:order val="1"/>
          <c:tx>
            <c:strRef>
              <c:f>'Chart Data'!$BE$1</c:f>
              <c:strCache>
                <c:ptCount val="1"/>
                <c:pt idx="0">
                  <c:v>2:4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Data'!$BC$2:$BC$12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Data'!$BE$2:$BE$12</c:f>
              <c:numCache>
                <c:formatCode>General</c:formatCode>
                <c:ptCount val="11"/>
                <c:pt idx="0">
                  <c:v>74.180000000000007</c:v>
                </c:pt>
                <c:pt idx="1">
                  <c:v>74.69</c:v>
                </c:pt>
                <c:pt idx="2">
                  <c:v>73.64</c:v>
                </c:pt>
                <c:pt idx="3">
                  <c:v>73.739999999999995</c:v>
                </c:pt>
                <c:pt idx="4">
                  <c:v>74.03</c:v>
                </c:pt>
                <c:pt idx="5">
                  <c:v>74.569999999999993</c:v>
                </c:pt>
                <c:pt idx="6">
                  <c:v>74.12</c:v>
                </c:pt>
                <c:pt idx="7">
                  <c:v>73.510000000000005</c:v>
                </c:pt>
                <c:pt idx="8">
                  <c:v>74.930000000000007</c:v>
                </c:pt>
                <c:pt idx="9">
                  <c:v>73.989999999999995</c:v>
                </c:pt>
                <c:pt idx="10">
                  <c:v>74.53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99-4797-AF8F-09B1EA15462A}"/>
            </c:ext>
          </c:extLst>
        </c:ser>
        <c:ser>
          <c:idx val="2"/>
          <c:order val="2"/>
          <c:tx>
            <c:strRef>
              <c:f>'Chart Data'!$BF$1</c:f>
              <c:strCache>
                <c:ptCount val="1"/>
                <c:pt idx="0">
                  <c:v>2:8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Data'!$BC$2:$BC$12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Data'!$BF$2:$BF$12</c:f>
              <c:numCache>
                <c:formatCode>General</c:formatCode>
                <c:ptCount val="11"/>
                <c:pt idx="0">
                  <c:v>72.09</c:v>
                </c:pt>
                <c:pt idx="1">
                  <c:v>73.03</c:v>
                </c:pt>
                <c:pt idx="2">
                  <c:v>73.069999999999993</c:v>
                </c:pt>
                <c:pt idx="3">
                  <c:v>73.28</c:v>
                </c:pt>
                <c:pt idx="4">
                  <c:v>74.08</c:v>
                </c:pt>
                <c:pt idx="5">
                  <c:v>73.64</c:v>
                </c:pt>
                <c:pt idx="6">
                  <c:v>73.88</c:v>
                </c:pt>
                <c:pt idx="7">
                  <c:v>73.77</c:v>
                </c:pt>
                <c:pt idx="8">
                  <c:v>73.66</c:v>
                </c:pt>
                <c:pt idx="9">
                  <c:v>73.680000000000007</c:v>
                </c:pt>
                <c:pt idx="10">
                  <c:v>74.099999999999994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99-4797-AF8F-09B1EA15462A}"/>
            </c:ext>
          </c:extLst>
        </c:ser>
        <c:ser>
          <c:idx val="3"/>
          <c:order val="3"/>
          <c:tx>
            <c:strRef>
              <c:f>'Chart Data'!$BG$1</c:f>
              <c:strCache>
                <c:ptCount val="1"/>
                <c:pt idx="0">
                  <c:v>2:16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'Chart Data'!$BC$2:$BC$12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Data'!$BG$2:$BG$12</c:f>
              <c:numCache>
                <c:formatCode>General</c:formatCode>
                <c:ptCount val="11"/>
                <c:pt idx="0">
                  <c:v>71.819999999999993</c:v>
                </c:pt>
                <c:pt idx="1">
                  <c:v>72.290000000000006</c:v>
                </c:pt>
                <c:pt idx="2">
                  <c:v>73.319999999999993</c:v>
                </c:pt>
                <c:pt idx="3">
                  <c:v>73.319999999999993</c:v>
                </c:pt>
                <c:pt idx="4">
                  <c:v>74.63</c:v>
                </c:pt>
                <c:pt idx="5">
                  <c:v>73.45</c:v>
                </c:pt>
                <c:pt idx="6">
                  <c:v>73.97</c:v>
                </c:pt>
                <c:pt idx="7">
                  <c:v>74.47</c:v>
                </c:pt>
                <c:pt idx="8">
                  <c:v>74.13</c:v>
                </c:pt>
                <c:pt idx="9">
                  <c:v>73.62</c:v>
                </c:pt>
                <c:pt idx="10">
                  <c:v>74.040000000000006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99-4797-AF8F-09B1EA15462A}"/>
            </c:ext>
          </c:extLst>
        </c:ser>
        <c:ser>
          <c:idx val="4"/>
          <c:order val="4"/>
          <c:tx>
            <c:strRef>
              <c:f>'Chart Data'!$BH$1</c:f>
              <c:strCache>
                <c:ptCount val="1"/>
                <c:pt idx="0">
                  <c:v>2:32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'Chart Data'!$BC$2:$BC$12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Data'!$BH$2:$BH$12</c:f>
              <c:numCache>
                <c:formatCode>General</c:formatCode>
                <c:ptCount val="11"/>
                <c:pt idx="0">
                  <c:v>70.37</c:v>
                </c:pt>
                <c:pt idx="1">
                  <c:v>72.37</c:v>
                </c:pt>
                <c:pt idx="2">
                  <c:v>73.13</c:v>
                </c:pt>
                <c:pt idx="3">
                  <c:v>72.11</c:v>
                </c:pt>
                <c:pt idx="4">
                  <c:v>74.83</c:v>
                </c:pt>
                <c:pt idx="5">
                  <c:v>72.739999999999995</c:v>
                </c:pt>
                <c:pt idx="6">
                  <c:v>74.37</c:v>
                </c:pt>
                <c:pt idx="7">
                  <c:v>73.64</c:v>
                </c:pt>
                <c:pt idx="8">
                  <c:v>74.19</c:v>
                </c:pt>
                <c:pt idx="9">
                  <c:v>73.709999999999994</c:v>
                </c:pt>
                <c:pt idx="10">
                  <c:v>75.010000000000005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99-4797-AF8F-09B1EA15462A}"/>
            </c:ext>
          </c:extLst>
        </c:ser>
        <c:ser>
          <c:idx val="5"/>
          <c:order val="5"/>
          <c:tx>
            <c:strRef>
              <c:f>'Chart Data'!$BI$1</c:f>
              <c:strCache>
                <c:ptCount val="1"/>
                <c:pt idx="0">
                  <c:v>hardware ceiling (2 flops x 128 MACs x 300 MHz)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'Chart Data'!$BC$2:$BC$12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Data'!$BI$2:$BI$12</c:f>
              <c:numCache>
                <c:formatCode>General</c:formatCode>
                <c:ptCount val="11"/>
                <c:pt idx="0">
                  <c:v>76.8</c:v>
                </c:pt>
                <c:pt idx="1">
                  <c:v>76.8</c:v>
                </c:pt>
                <c:pt idx="2">
                  <c:v>76.8</c:v>
                </c:pt>
                <c:pt idx="3">
                  <c:v>76.8</c:v>
                </c:pt>
                <c:pt idx="4">
                  <c:v>76.8</c:v>
                </c:pt>
                <c:pt idx="5">
                  <c:v>76.8</c:v>
                </c:pt>
                <c:pt idx="6">
                  <c:v>76.8</c:v>
                </c:pt>
                <c:pt idx="7">
                  <c:v>76.8</c:v>
                </c:pt>
                <c:pt idx="8">
                  <c:v>76.8</c:v>
                </c:pt>
                <c:pt idx="9">
                  <c:v>76.8</c:v>
                </c:pt>
                <c:pt idx="10">
                  <c:v>76.8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99-4797-AF8F-09B1EA154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110351"/>
        <c:axId val="1665519535"/>
      </c:lineChart>
      <c:catAx>
        <c:axId val="168111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519535"/>
        <c:crosses val="autoZero"/>
        <c:auto val="1"/>
        <c:lblAlgn val="ctr"/>
        <c:lblOffset val="100"/>
        <c:noMultiLvlLbl val="0"/>
      </c:catAx>
      <c:valAx>
        <c:axId val="1665519535"/>
        <c:scaling>
          <c:orientation val="minMax"/>
          <c:max val="8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GFLOPS_actual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8111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silicon rate never changes; the delivered work does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Data'!$AO$1</c:f>
              <c:strCache>
                <c:ptCount val="1"/>
                <c:pt idx="0">
                  <c:v>dense</c:v>
                </c:pt>
              </c:strCache>
            </c:strRef>
          </c:tx>
          <c:spPr>
            <a:ln w="28575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04040"/>
              </a:solidFill>
              <a:ln w="9525">
                <a:solidFill>
                  <a:srgbClr val="404040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Data'!$AO$2:$AO$12</c:f>
              <c:numCache>
                <c:formatCode>General</c:formatCode>
                <c:ptCount val="11"/>
                <c:pt idx="0">
                  <c:v>74.099999999999994</c:v>
                </c:pt>
                <c:pt idx="1">
                  <c:v>73.56</c:v>
                </c:pt>
                <c:pt idx="2">
                  <c:v>75.48</c:v>
                </c:pt>
                <c:pt idx="3">
                  <c:v>74.52</c:v>
                </c:pt>
                <c:pt idx="4">
                  <c:v>73.94</c:v>
                </c:pt>
                <c:pt idx="5">
                  <c:v>73.849999999999994</c:v>
                </c:pt>
                <c:pt idx="6">
                  <c:v>74.2</c:v>
                </c:pt>
                <c:pt idx="7">
                  <c:v>74.45</c:v>
                </c:pt>
                <c:pt idx="8">
                  <c:v>74.17</c:v>
                </c:pt>
                <c:pt idx="9">
                  <c:v>73.91</c:v>
                </c:pt>
                <c:pt idx="10">
                  <c:v>73.790000000000006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4-4E73-BF57-D5FE29ED2AFB}"/>
            </c:ext>
          </c:extLst>
        </c:ser>
        <c:ser>
          <c:idx val="1"/>
          <c:order val="1"/>
          <c:tx>
            <c:strRef>
              <c:f>'Chart Data'!$AP$1</c:f>
              <c:strCache>
                <c:ptCount val="1"/>
                <c:pt idx="0">
                  <c:v>2:4</c:v>
                </c:pt>
              </c:strCache>
            </c:strRef>
          </c:tx>
          <c:spPr>
            <a:ln w="28575" cap="rnd">
              <a:solidFill>
                <a:srgbClr val="59595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95959"/>
              </a:solidFill>
              <a:ln w="9525">
                <a:solidFill>
                  <a:srgbClr val="595959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Data'!$AP$2:$AP$12</c:f>
              <c:numCache>
                <c:formatCode>General</c:formatCode>
                <c:ptCount val="11"/>
                <c:pt idx="0">
                  <c:v>74.180000000000007</c:v>
                </c:pt>
                <c:pt idx="1">
                  <c:v>74.69</c:v>
                </c:pt>
                <c:pt idx="2">
                  <c:v>73.64</c:v>
                </c:pt>
                <c:pt idx="3">
                  <c:v>73.739999999999995</c:v>
                </c:pt>
                <c:pt idx="4">
                  <c:v>74.03</c:v>
                </c:pt>
                <c:pt idx="5">
                  <c:v>74.569999999999993</c:v>
                </c:pt>
                <c:pt idx="6">
                  <c:v>74.12</c:v>
                </c:pt>
                <c:pt idx="7">
                  <c:v>73.510000000000005</c:v>
                </c:pt>
                <c:pt idx="8">
                  <c:v>74.930000000000007</c:v>
                </c:pt>
                <c:pt idx="9">
                  <c:v>73.989999999999995</c:v>
                </c:pt>
                <c:pt idx="10">
                  <c:v>74.53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4-4E73-BF57-D5FE29ED2AFB}"/>
            </c:ext>
          </c:extLst>
        </c:ser>
        <c:ser>
          <c:idx val="2"/>
          <c:order val="2"/>
          <c:tx>
            <c:strRef>
              <c:f>'Chart Data'!$AQ$1</c:f>
              <c:strCache>
                <c:ptCount val="1"/>
                <c:pt idx="0">
                  <c:v>2:8</c:v>
                </c:pt>
              </c:strCache>
            </c:strRef>
          </c:tx>
          <c:spPr>
            <a:ln w="28575" cap="rnd">
              <a:solidFill>
                <a:srgbClr val="7F7F7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F7F7F"/>
              </a:solidFill>
              <a:ln w="9525">
                <a:solidFill>
                  <a:srgbClr val="7F7F7F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Data'!$AQ$2:$AQ$12</c:f>
              <c:numCache>
                <c:formatCode>General</c:formatCode>
                <c:ptCount val="11"/>
                <c:pt idx="0">
                  <c:v>72.09</c:v>
                </c:pt>
                <c:pt idx="1">
                  <c:v>73.03</c:v>
                </c:pt>
                <c:pt idx="2">
                  <c:v>73.069999999999993</c:v>
                </c:pt>
                <c:pt idx="3">
                  <c:v>73.28</c:v>
                </c:pt>
                <c:pt idx="4">
                  <c:v>74.08</c:v>
                </c:pt>
                <c:pt idx="5">
                  <c:v>73.64</c:v>
                </c:pt>
                <c:pt idx="6">
                  <c:v>73.88</c:v>
                </c:pt>
                <c:pt idx="7">
                  <c:v>73.77</c:v>
                </c:pt>
                <c:pt idx="8">
                  <c:v>73.66</c:v>
                </c:pt>
                <c:pt idx="9">
                  <c:v>73.680000000000007</c:v>
                </c:pt>
                <c:pt idx="10">
                  <c:v>74.099999999999994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C4-4E73-BF57-D5FE29ED2AFB}"/>
            </c:ext>
          </c:extLst>
        </c:ser>
        <c:ser>
          <c:idx val="3"/>
          <c:order val="3"/>
          <c:tx>
            <c:strRef>
              <c:f>'Chart Data'!$AR$1</c:f>
              <c:strCache>
                <c:ptCount val="1"/>
                <c:pt idx="0">
                  <c:v>2:16</c:v>
                </c:pt>
              </c:strCache>
            </c:strRef>
          </c:tx>
          <c:spPr>
            <a:ln w="2857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6A6A6"/>
              </a:solidFill>
              <a:ln w="9525">
                <a:solidFill>
                  <a:srgbClr val="A6A6A6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Data'!$AR$2:$AR$12</c:f>
              <c:numCache>
                <c:formatCode>General</c:formatCode>
                <c:ptCount val="11"/>
                <c:pt idx="0">
                  <c:v>71.819999999999993</c:v>
                </c:pt>
                <c:pt idx="1">
                  <c:v>72.290000000000006</c:v>
                </c:pt>
                <c:pt idx="2">
                  <c:v>73.319999999999993</c:v>
                </c:pt>
                <c:pt idx="3">
                  <c:v>73.319999999999993</c:v>
                </c:pt>
                <c:pt idx="4">
                  <c:v>74.63</c:v>
                </c:pt>
                <c:pt idx="5">
                  <c:v>73.45</c:v>
                </c:pt>
                <c:pt idx="6">
                  <c:v>73.97</c:v>
                </c:pt>
                <c:pt idx="7">
                  <c:v>74.47</c:v>
                </c:pt>
                <c:pt idx="8">
                  <c:v>74.13</c:v>
                </c:pt>
                <c:pt idx="9">
                  <c:v>73.62</c:v>
                </c:pt>
                <c:pt idx="10">
                  <c:v>74.040000000000006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C4-4E73-BF57-D5FE29ED2AFB}"/>
            </c:ext>
          </c:extLst>
        </c:ser>
        <c:ser>
          <c:idx val="4"/>
          <c:order val="4"/>
          <c:tx>
            <c:strRef>
              <c:f>'Chart Data'!$AS$1</c:f>
              <c:strCache>
                <c:ptCount val="1"/>
                <c:pt idx="0">
                  <c:v>2:32</c:v>
                </c:pt>
              </c:strCache>
            </c:strRef>
          </c:tx>
          <c:spPr>
            <a:ln w="28575" cap="rnd">
              <a:solidFill>
                <a:srgbClr val="BFBFB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FBFBF"/>
              </a:solidFill>
              <a:ln w="9525">
                <a:solidFill>
                  <a:srgbClr val="BFBFBF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Data'!$AS$2:$AS$12</c:f>
              <c:numCache>
                <c:formatCode>General</c:formatCode>
                <c:ptCount val="11"/>
                <c:pt idx="0">
                  <c:v>70.37</c:v>
                </c:pt>
                <c:pt idx="1">
                  <c:v>72.37</c:v>
                </c:pt>
                <c:pt idx="2">
                  <c:v>73.13</c:v>
                </c:pt>
                <c:pt idx="3">
                  <c:v>72.11</c:v>
                </c:pt>
                <c:pt idx="4">
                  <c:v>74.83</c:v>
                </c:pt>
                <c:pt idx="5">
                  <c:v>72.739999999999995</c:v>
                </c:pt>
                <c:pt idx="6">
                  <c:v>74.37</c:v>
                </c:pt>
                <c:pt idx="7">
                  <c:v>73.64</c:v>
                </c:pt>
                <c:pt idx="8">
                  <c:v>74.19</c:v>
                </c:pt>
                <c:pt idx="9">
                  <c:v>73.709999999999994</c:v>
                </c:pt>
                <c:pt idx="10">
                  <c:v>75.010000000000005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C4-4E73-BF57-D5FE29ED2AFB}"/>
            </c:ext>
          </c:extLst>
        </c:ser>
        <c:ser>
          <c:idx val="5"/>
          <c:order val="5"/>
          <c:tx>
            <c:strRef>
              <c:f>'Chart Data'!$AT$1</c:f>
              <c:strCache>
                <c:ptCount val="1"/>
                <c:pt idx="0">
                  <c:v>dense (eff)</c:v>
                </c:pt>
              </c:strCache>
            </c:strRef>
          </c:tx>
          <c:spPr>
            <a:ln w="28575" cap="rnd">
              <a:solidFill>
                <a:srgbClr val="7F330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7F3300"/>
              </a:solidFill>
              <a:ln w="9525">
                <a:solidFill>
                  <a:srgbClr val="7F3300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Data'!$AT$2:$AT$12</c:f>
              <c:numCache>
                <c:formatCode>General</c:formatCode>
                <c:ptCount val="11"/>
                <c:pt idx="0">
                  <c:v>74.099999999999994</c:v>
                </c:pt>
                <c:pt idx="1">
                  <c:v>73.56</c:v>
                </c:pt>
                <c:pt idx="2">
                  <c:v>75.48</c:v>
                </c:pt>
                <c:pt idx="3">
                  <c:v>74.52</c:v>
                </c:pt>
                <c:pt idx="4">
                  <c:v>73.94</c:v>
                </c:pt>
                <c:pt idx="5">
                  <c:v>73.849999999999994</c:v>
                </c:pt>
                <c:pt idx="6">
                  <c:v>74.2</c:v>
                </c:pt>
                <c:pt idx="7">
                  <c:v>74.45</c:v>
                </c:pt>
                <c:pt idx="8">
                  <c:v>74.17</c:v>
                </c:pt>
                <c:pt idx="9">
                  <c:v>73.91</c:v>
                </c:pt>
                <c:pt idx="10">
                  <c:v>73.790000000000006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C4-4E73-BF57-D5FE29ED2AFB}"/>
            </c:ext>
          </c:extLst>
        </c:ser>
        <c:ser>
          <c:idx val="6"/>
          <c:order val="6"/>
          <c:tx>
            <c:strRef>
              <c:f>'Chart Data'!$AU$1</c:f>
              <c:strCache>
                <c:ptCount val="1"/>
                <c:pt idx="0">
                  <c:v>2:4 (eff)</c:v>
                </c:pt>
              </c:strCache>
            </c:strRef>
          </c:tx>
          <c:spPr>
            <a:ln w="28575" cap="rnd">
              <a:solidFill>
                <a:srgbClr val="B3470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B34700"/>
              </a:solidFill>
              <a:ln w="9525">
                <a:solidFill>
                  <a:srgbClr val="B34700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Data'!$AU$2:$AU$12</c:f>
              <c:numCache>
                <c:formatCode>General</c:formatCode>
                <c:ptCount val="11"/>
                <c:pt idx="0">
                  <c:v>148.36000000000001</c:v>
                </c:pt>
                <c:pt idx="1">
                  <c:v>149.38999999999999</c:v>
                </c:pt>
                <c:pt idx="2">
                  <c:v>147.27000000000001</c:v>
                </c:pt>
                <c:pt idx="3">
                  <c:v>147.47999999999999</c:v>
                </c:pt>
                <c:pt idx="4">
                  <c:v>148.06</c:v>
                </c:pt>
                <c:pt idx="5">
                  <c:v>149.13</c:v>
                </c:pt>
                <c:pt idx="6">
                  <c:v>148.22999999999999</c:v>
                </c:pt>
                <c:pt idx="7">
                  <c:v>147.02000000000001</c:v>
                </c:pt>
                <c:pt idx="8">
                  <c:v>149.86000000000001</c:v>
                </c:pt>
                <c:pt idx="9">
                  <c:v>147.99</c:v>
                </c:pt>
                <c:pt idx="10">
                  <c:v>149.06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C4-4E73-BF57-D5FE29ED2AFB}"/>
            </c:ext>
          </c:extLst>
        </c:ser>
        <c:ser>
          <c:idx val="7"/>
          <c:order val="7"/>
          <c:tx>
            <c:strRef>
              <c:f>'Chart Data'!$AV$1</c:f>
              <c:strCache>
                <c:ptCount val="1"/>
                <c:pt idx="0">
                  <c:v>2:8 (eff)</c:v>
                </c:pt>
              </c:strCache>
            </c:strRef>
          </c:tx>
          <c:spPr>
            <a:ln w="28575" cap="rnd">
              <a:solidFill>
                <a:srgbClr val="E36C0A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E36C0A"/>
              </a:solidFill>
              <a:ln w="9525">
                <a:solidFill>
                  <a:srgbClr val="E36C0A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Data'!$AV$2:$AV$12</c:f>
              <c:numCache>
                <c:formatCode>General</c:formatCode>
                <c:ptCount val="11"/>
                <c:pt idx="0">
                  <c:v>288.37</c:v>
                </c:pt>
                <c:pt idx="1">
                  <c:v>292.13</c:v>
                </c:pt>
                <c:pt idx="2">
                  <c:v>292.27999999999997</c:v>
                </c:pt>
                <c:pt idx="3">
                  <c:v>293.12</c:v>
                </c:pt>
                <c:pt idx="4">
                  <c:v>296.31</c:v>
                </c:pt>
                <c:pt idx="5">
                  <c:v>294.57</c:v>
                </c:pt>
                <c:pt idx="6">
                  <c:v>295.52</c:v>
                </c:pt>
                <c:pt idx="7">
                  <c:v>295.06</c:v>
                </c:pt>
                <c:pt idx="8">
                  <c:v>294.66000000000003</c:v>
                </c:pt>
                <c:pt idx="9">
                  <c:v>294.72000000000003</c:v>
                </c:pt>
                <c:pt idx="10">
                  <c:v>296.42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C4-4E73-BF57-D5FE29ED2AFB}"/>
            </c:ext>
          </c:extLst>
        </c:ser>
        <c:ser>
          <c:idx val="8"/>
          <c:order val="8"/>
          <c:tx>
            <c:strRef>
              <c:f>'Chart Data'!$AW$1</c:f>
              <c:strCache>
                <c:ptCount val="1"/>
                <c:pt idx="0">
                  <c:v>2:16 (eff)</c:v>
                </c:pt>
              </c:strCache>
            </c:strRef>
          </c:tx>
          <c:spPr>
            <a:ln w="28575" cap="rnd">
              <a:solidFill>
                <a:srgbClr val="F79646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79646"/>
              </a:solidFill>
              <a:ln w="9525">
                <a:solidFill>
                  <a:srgbClr val="F79646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Data'!$AW$2:$AW$12</c:f>
              <c:numCache>
                <c:formatCode>General</c:formatCode>
                <c:ptCount val="11"/>
                <c:pt idx="0">
                  <c:v>574.54</c:v>
                </c:pt>
                <c:pt idx="1">
                  <c:v>578.28</c:v>
                </c:pt>
                <c:pt idx="2">
                  <c:v>586.58000000000004</c:v>
                </c:pt>
                <c:pt idx="3">
                  <c:v>586.54999999999995</c:v>
                </c:pt>
                <c:pt idx="4">
                  <c:v>597.04</c:v>
                </c:pt>
                <c:pt idx="5">
                  <c:v>587.58000000000004</c:v>
                </c:pt>
                <c:pt idx="6">
                  <c:v>591.73</c:v>
                </c:pt>
                <c:pt idx="7">
                  <c:v>595.76</c:v>
                </c:pt>
                <c:pt idx="8">
                  <c:v>593.05999999999995</c:v>
                </c:pt>
                <c:pt idx="9">
                  <c:v>588.98</c:v>
                </c:pt>
                <c:pt idx="10">
                  <c:v>592.29999999999995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C4-4E73-BF57-D5FE29ED2AFB}"/>
            </c:ext>
          </c:extLst>
        </c:ser>
        <c:ser>
          <c:idx val="9"/>
          <c:order val="9"/>
          <c:tx>
            <c:strRef>
              <c:f>'Chart Data'!$AX$1</c:f>
              <c:strCache>
                <c:ptCount val="1"/>
                <c:pt idx="0">
                  <c:v>2:32 (eff)</c:v>
                </c:pt>
              </c:strCache>
            </c:strRef>
          </c:tx>
          <c:spPr>
            <a:ln w="28575" cap="rnd">
              <a:solidFill>
                <a:srgbClr val="FAC090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rgbClr val="FAC090"/>
              </a:solidFill>
              <a:ln w="9525">
                <a:solidFill>
                  <a:srgbClr val="FAC090"/>
                </a:solidFill>
                <a:prstDash val="solid"/>
              </a:ln>
              <a:effectLst/>
            </c:spPr>
          </c:marker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Data'!$AX$2:$AX$12</c:f>
              <c:numCache>
                <c:formatCode>General</c:formatCode>
                <c:ptCount val="11"/>
                <c:pt idx="0">
                  <c:v>1125.8900000000001</c:v>
                </c:pt>
                <c:pt idx="1">
                  <c:v>1157.8399999999999</c:v>
                </c:pt>
                <c:pt idx="2">
                  <c:v>1170.03</c:v>
                </c:pt>
                <c:pt idx="3">
                  <c:v>1153.79</c:v>
                </c:pt>
                <c:pt idx="4">
                  <c:v>1197.28</c:v>
                </c:pt>
                <c:pt idx="5">
                  <c:v>1163.8599999999999</c:v>
                </c:pt>
                <c:pt idx="6">
                  <c:v>1189.8699999999999</c:v>
                </c:pt>
                <c:pt idx="7">
                  <c:v>1178.3</c:v>
                </c:pt>
                <c:pt idx="8">
                  <c:v>1187.08</c:v>
                </c:pt>
                <c:pt idx="9">
                  <c:v>1179.4100000000001</c:v>
                </c:pt>
                <c:pt idx="10">
                  <c:v>1200.1300000000001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C4-4E73-BF57-D5FE29ED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760799"/>
        <c:axId val="1665526735"/>
      </c:lineChart>
      <c:catAx>
        <c:axId val="169376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65526735"/>
        <c:crosses val="autoZero"/>
        <c:auto val="1"/>
        <c:lblAlgn val="ctr"/>
        <c:lblOffset val="100"/>
        <c:noMultiLvlLbl val="0"/>
      </c:catAx>
      <c:valAx>
        <c:axId val="1665526735"/>
        <c:scaling>
          <c:logBase val="10"/>
          <c:orientation val="minMax"/>
          <c:max val="20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(log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69376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16x the output for 3.4% more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Data'!$L$1</c:f>
              <c:strCache>
                <c:ptCount val="1"/>
                <c:pt idx="0">
                  <c:v>Rows computed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16x the rows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E4F-4FEA-B7F0-AB6EC12B69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Data'!$K$2:$K$6</c:f>
              <c:strCache>
                <c:ptCount val="5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</c:strCache>
            </c:strRef>
          </c:cat>
          <c:val>
            <c:numRef>
              <c:f>'Chart Data'!$L$2:$L$6</c:f>
              <c:numCache>
                <c:formatCode>General</c:formatCode>
                <c:ptCount val="5"/>
                <c:pt idx="0">
                  <c:v>262144</c:v>
                </c:pt>
                <c:pt idx="1">
                  <c:v>524288</c:v>
                </c:pt>
                <c:pt idx="2">
                  <c:v>1048576</c:v>
                </c:pt>
                <c:pt idx="3">
                  <c:v>2097152</c:v>
                </c:pt>
                <c:pt idx="4">
                  <c:v>4194304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F-4FEA-B7F0-AB6EC12B6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084672"/>
        <c:axId val="735698256"/>
      </c:barChart>
      <c:lineChart>
        <c:grouping val="standard"/>
        <c:varyColors val="0"/>
        <c:ser>
          <c:idx val="1"/>
          <c:order val="1"/>
          <c:tx>
            <c:strRef>
              <c:f>'Chart Data'!$M$1</c:f>
              <c:strCache>
                <c:ptCount val="1"/>
                <c:pt idx="0">
                  <c:v>Latency (us)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+3.4% time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E4F-4FEA-B7F0-AB6EC12B69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Data'!$K$2:$K$6</c:f>
              <c:strCache>
                <c:ptCount val="5"/>
                <c:pt idx="0">
                  <c:v>dense</c:v>
                </c:pt>
                <c:pt idx="1">
                  <c:v>2:4</c:v>
                </c:pt>
                <c:pt idx="2">
                  <c:v>2:8</c:v>
                </c:pt>
                <c:pt idx="3">
                  <c:v>2:16</c:v>
                </c:pt>
                <c:pt idx="4">
                  <c:v>2:32</c:v>
                </c:pt>
              </c:strCache>
            </c:strRef>
          </c:cat>
          <c:val>
            <c:numRef>
              <c:f>'Chart Data'!$M$2:$M$6</c:f>
              <c:numCache>
                <c:formatCode>General</c:formatCode>
                <c:ptCount val="5"/>
                <c:pt idx="0">
                  <c:v>7745.5770000000002</c:v>
                </c:pt>
                <c:pt idx="1">
                  <c:v>7826.5820000000003</c:v>
                </c:pt>
                <c:pt idx="2">
                  <c:v>7849.0990000000002</c:v>
                </c:pt>
                <c:pt idx="3">
                  <c:v>7910.9</c:v>
                </c:pt>
                <c:pt idx="4">
                  <c:v>8005.26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4F-4FEA-B7F0-AB6EC12B6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060544"/>
        <c:axId val="735681456"/>
      </c:lineChart>
      <c:catAx>
        <c:axId val="106106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Sparsity pattern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735681456"/>
        <c:crosses val="autoZero"/>
        <c:auto val="1"/>
        <c:lblAlgn val="ctr"/>
        <c:lblOffset val="100"/>
        <c:noMultiLvlLbl val="0"/>
      </c:catAx>
      <c:valAx>
        <c:axId val="735681456"/>
        <c:scaling>
          <c:orientation val="minMax"/>
          <c:max val="9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061060544"/>
        <c:crosses val="autoZero"/>
        <c:crossBetween val="between"/>
      </c:valAx>
      <c:valAx>
        <c:axId val="735698256"/>
        <c:scaling>
          <c:orientation val="minMax"/>
          <c:max val="45000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Rows computed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061084672"/>
        <c:crosses val="max"/>
        <c:crossBetween val="between"/>
      </c:valAx>
      <c:catAx>
        <c:axId val="10610846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5698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The silicon rate never changes; the delivered work does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Data'!$AO$1</c:f>
              <c:strCache>
                <c:ptCount val="1"/>
                <c:pt idx="0">
                  <c:v>dense</c:v>
                </c:pt>
              </c:strCache>
            </c:strRef>
          </c:tx>
          <c:spPr>
            <a:solidFill>
              <a:srgbClr val="1F4E79"/>
            </a:solidFill>
            <a:ln w="28575">
              <a:solidFill>
                <a:srgbClr val="1F4E79"/>
              </a:solidFill>
              <a:prstDash val="solid"/>
            </a:ln>
            <a:effectLst/>
          </c:spPr>
          <c:invertIfNegative val="0"/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Data'!$AO$2:$AO$12</c:f>
              <c:numCache>
                <c:formatCode>General</c:formatCode>
                <c:ptCount val="11"/>
                <c:pt idx="0">
                  <c:v>74.099999999999994</c:v>
                </c:pt>
                <c:pt idx="1">
                  <c:v>73.56</c:v>
                </c:pt>
                <c:pt idx="2">
                  <c:v>75.48</c:v>
                </c:pt>
                <c:pt idx="3">
                  <c:v>74.52</c:v>
                </c:pt>
                <c:pt idx="4">
                  <c:v>73.94</c:v>
                </c:pt>
                <c:pt idx="5">
                  <c:v>73.849999999999994</c:v>
                </c:pt>
                <c:pt idx="6">
                  <c:v>74.2</c:v>
                </c:pt>
                <c:pt idx="7">
                  <c:v>74.45</c:v>
                </c:pt>
                <c:pt idx="8">
                  <c:v>74.17</c:v>
                </c:pt>
                <c:pt idx="9">
                  <c:v>73.91</c:v>
                </c:pt>
                <c:pt idx="10">
                  <c:v>73.790000000000006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0-400C-84AA-8100AD586AC2}"/>
            </c:ext>
          </c:extLst>
        </c:ser>
        <c:ser>
          <c:idx val="1"/>
          <c:order val="1"/>
          <c:tx>
            <c:strRef>
              <c:f>'Chart Data'!$AP$1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C00000"/>
            </a:solidFill>
            <a:ln w="28575">
              <a:solidFill>
                <a:srgbClr val="C00000"/>
              </a:solidFill>
              <a:prstDash val="solid"/>
            </a:ln>
            <a:effectLst/>
          </c:spPr>
          <c:invertIfNegative val="0"/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Data'!$AP$2:$AP$12</c:f>
              <c:numCache>
                <c:formatCode>General</c:formatCode>
                <c:ptCount val="11"/>
                <c:pt idx="0">
                  <c:v>74.180000000000007</c:v>
                </c:pt>
                <c:pt idx="1">
                  <c:v>74.69</c:v>
                </c:pt>
                <c:pt idx="2">
                  <c:v>73.64</c:v>
                </c:pt>
                <c:pt idx="3">
                  <c:v>73.739999999999995</c:v>
                </c:pt>
                <c:pt idx="4">
                  <c:v>74.03</c:v>
                </c:pt>
                <c:pt idx="5">
                  <c:v>74.569999999999993</c:v>
                </c:pt>
                <c:pt idx="6">
                  <c:v>74.12</c:v>
                </c:pt>
                <c:pt idx="7">
                  <c:v>73.510000000000005</c:v>
                </c:pt>
                <c:pt idx="8">
                  <c:v>74.930000000000007</c:v>
                </c:pt>
                <c:pt idx="9">
                  <c:v>73.989999999999995</c:v>
                </c:pt>
                <c:pt idx="10">
                  <c:v>74.53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0-400C-84AA-8100AD586AC2}"/>
            </c:ext>
          </c:extLst>
        </c:ser>
        <c:ser>
          <c:idx val="2"/>
          <c:order val="2"/>
          <c:tx>
            <c:strRef>
              <c:f>'Chart Data'!$AQ$1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2E7D32"/>
            </a:solidFill>
            <a:ln w="28575">
              <a:solidFill>
                <a:srgbClr val="2E7D32"/>
              </a:solidFill>
              <a:prstDash val="solid"/>
            </a:ln>
            <a:effectLst/>
          </c:spPr>
          <c:invertIfNegative val="0"/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Data'!$AQ$2:$AQ$12</c:f>
              <c:numCache>
                <c:formatCode>General</c:formatCode>
                <c:ptCount val="11"/>
                <c:pt idx="0">
                  <c:v>72.09</c:v>
                </c:pt>
                <c:pt idx="1">
                  <c:v>73.03</c:v>
                </c:pt>
                <c:pt idx="2">
                  <c:v>73.069999999999993</c:v>
                </c:pt>
                <c:pt idx="3">
                  <c:v>73.28</c:v>
                </c:pt>
                <c:pt idx="4">
                  <c:v>74.08</c:v>
                </c:pt>
                <c:pt idx="5">
                  <c:v>73.64</c:v>
                </c:pt>
                <c:pt idx="6">
                  <c:v>73.88</c:v>
                </c:pt>
                <c:pt idx="7">
                  <c:v>73.77</c:v>
                </c:pt>
                <c:pt idx="8">
                  <c:v>73.66</c:v>
                </c:pt>
                <c:pt idx="9">
                  <c:v>73.680000000000007</c:v>
                </c:pt>
                <c:pt idx="10">
                  <c:v>74.099999999999994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0-400C-84AA-8100AD586AC2}"/>
            </c:ext>
          </c:extLst>
        </c:ser>
        <c:ser>
          <c:idx val="3"/>
          <c:order val="3"/>
          <c:tx>
            <c:strRef>
              <c:f>'Chart Data'!$AR$1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E69F00"/>
            </a:solidFill>
            <a:ln w="28575">
              <a:solidFill>
                <a:srgbClr val="E69F00"/>
              </a:solidFill>
              <a:prstDash val="solid"/>
            </a:ln>
            <a:effectLst/>
          </c:spPr>
          <c:invertIfNegative val="0"/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Data'!$AR$2:$AR$12</c:f>
              <c:numCache>
                <c:formatCode>General</c:formatCode>
                <c:ptCount val="11"/>
                <c:pt idx="0">
                  <c:v>71.819999999999993</c:v>
                </c:pt>
                <c:pt idx="1">
                  <c:v>72.290000000000006</c:v>
                </c:pt>
                <c:pt idx="2">
                  <c:v>73.319999999999993</c:v>
                </c:pt>
                <c:pt idx="3">
                  <c:v>73.319999999999993</c:v>
                </c:pt>
                <c:pt idx="4">
                  <c:v>74.63</c:v>
                </c:pt>
                <c:pt idx="5">
                  <c:v>73.45</c:v>
                </c:pt>
                <c:pt idx="6">
                  <c:v>73.97</c:v>
                </c:pt>
                <c:pt idx="7">
                  <c:v>74.47</c:v>
                </c:pt>
                <c:pt idx="8">
                  <c:v>74.13</c:v>
                </c:pt>
                <c:pt idx="9">
                  <c:v>73.62</c:v>
                </c:pt>
                <c:pt idx="10">
                  <c:v>74.040000000000006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30-400C-84AA-8100AD586AC2}"/>
            </c:ext>
          </c:extLst>
        </c:ser>
        <c:ser>
          <c:idx val="4"/>
          <c:order val="4"/>
          <c:tx>
            <c:strRef>
              <c:f>'Chart Data'!$AS$1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7030A0"/>
            </a:solidFill>
            <a:ln w="28575">
              <a:solidFill>
                <a:srgbClr val="7030A0"/>
              </a:solidFill>
              <a:prstDash val="solid"/>
            </a:ln>
            <a:effectLst/>
          </c:spPr>
          <c:invertIfNegative val="0"/>
          <c:cat>
            <c:strRef>
              <c:f>'Chart Data'!$AN$2:$AN$12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Data'!$AS$2:$AS$12</c:f>
              <c:numCache>
                <c:formatCode>General</c:formatCode>
                <c:ptCount val="11"/>
                <c:pt idx="0">
                  <c:v>70.37</c:v>
                </c:pt>
                <c:pt idx="1">
                  <c:v>72.37</c:v>
                </c:pt>
                <c:pt idx="2">
                  <c:v>73.13</c:v>
                </c:pt>
                <c:pt idx="3">
                  <c:v>72.11</c:v>
                </c:pt>
                <c:pt idx="4">
                  <c:v>74.83</c:v>
                </c:pt>
                <c:pt idx="5">
                  <c:v>72.739999999999995</c:v>
                </c:pt>
                <c:pt idx="6">
                  <c:v>74.37</c:v>
                </c:pt>
                <c:pt idx="7">
                  <c:v>73.64</c:v>
                </c:pt>
                <c:pt idx="8">
                  <c:v>74.19</c:v>
                </c:pt>
                <c:pt idx="9">
                  <c:v>73.709999999999994</c:v>
                </c:pt>
                <c:pt idx="10">
                  <c:v>75.010000000000005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30-400C-84AA-8100AD58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7519711"/>
        <c:axId val="871482095"/>
      </c:barChart>
      <c:catAx>
        <c:axId val="89751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71482095"/>
        <c:crosses val="autoZero"/>
        <c:auto val="1"/>
        <c:lblAlgn val="ctr"/>
        <c:lblOffset val="100"/>
        <c:noMultiLvlLbl val="0"/>
      </c:catAx>
      <c:valAx>
        <c:axId val="871482095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897519711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Latency per matrix across shapes and sparsities (300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Data'!$BL$1</c:f>
              <c:strCache>
                <c:ptCount val="1"/>
                <c:pt idx="0">
                  <c:v>dense</c:v>
                </c:pt>
              </c:strCache>
            </c:strRef>
          </c:tx>
          <c:spPr>
            <a:solidFill>
              <a:srgbClr val="1F4E79"/>
            </a:solidFill>
            <a:ln w="28575">
              <a:solidFill>
                <a:srgbClr val="1F4E79"/>
              </a:solidFill>
              <a:prstDash val="solid"/>
            </a:ln>
            <a:effectLst/>
          </c:spPr>
          <c:invertIfNegative val="0"/>
          <c:cat>
            <c:strRef>
              <c:f>'Chart Data'!$BK$2:$BK$12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Data'!$BL$2:$BL$12</c:f>
              <c:numCache>
                <c:formatCode>General</c:formatCode>
                <c:ptCount val="11"/>
                <c:pt idx="0">
                  <c:v>7.0757000000000003</c:v>
                </c:pt>
                <c:pt idx="1">
                  <c:v>16.036000000000001</c:v>
                </c:pt>
                <c:pt idx="2">
                  <c:v>27.784800000000001</c:v>
                </c:pt>
                <c:pt idx="3">
                  <c:v>63.317900000000002</c:v>
                </c:pt>
                <c:pt idx="4">
                  <c:v>63.812800000000003</c:v>
                </c:pt>
                <c:pt idx="5">
                  <c:v>113.5937</c:v>
                </c:pt>
                <c:pt idx="6">
                  <c:v>113.0586</c:v>
                </c:pt>
                <c:pt idx="7">
                  <c:v>112.6688</c:v>
                </c:pt>
                <c:pt idx="8">
                  <c:v>452.42020000000002</c:v>
                </c:pt>
                <c:pt idx="9">
                  <c:v>453.9778</c:v>
                </c:pt>
                <c:pt idx="10">
                  <c:v>454.70249999999999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C-42EE-9BEA-551CFF5DCBE9}"/>
            </c:ext>
          </c:extLst>
        </c:ser>
        <c:ser>
          <c:idx val="1"/>
          <c:order val="1"/>
          <c:tx>
            <c:strRef>
              <c:f>'Chart Data'!$BM$1</c:f>
              <c:strCache>
                <c:ptCount val="1"/>
                <c:pt idx="0">
                  <c:v>2:4</c:v>
                </c:pt>
              </c:strCache>
            </c:strRef>
          </c:tx>
          <c:spPr>
            <a:solidFill>
              <a:srgbClr val="C00000"/>
            </a:solidFill>
            <a:ln w="28575">
              <a:solidFill>
                <a:srgbClr val="C00000"/>
              </a:solidFill>
              <a:prstDash val="solid"/>
            </a:ln>
            <a:effectLst/>
          </c:spPr>
          <c:invertIfNegative val="0"/>
          <c:cat>
            <c:strRef>
              <c:f>'Chart Data'!$BK$2:$BK$12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Data'!$BM$2:$BM$12</c:f>
              <c:numCache>
                <c:formatCode>General</c:formatCode>
                <c:ptCount val="11"/>
                <c:pt idx="0">
                  <c:v>3.5337999999999998</c:v>
                </c:pt>
                <c:pt idx="1">
                  <c:v>7.8966000000000003</c:v>
                </c:pt>
                <c:pt idx="2">
                  <c:v>14.2399</c:v>
                </c:pt>
                <c:pt idx="3">
                  <c:v>31.994599999999998</c:v>
                </c:pt>
                <c:pt idx="4">
                  <c:v>31.870200000000001</c:v>
                </c:pt>
                <c:pt idx="5">
                  <c:v>56.248699999999999</c:v>
                </c:pt>
                <c:pt idx="6">
                  <c:v>56.590200000000003</c:v>
                </c:pt>
                <c:pt idx="7">
                  <c:v>57.058</c:v>
                </c:pt>
                <c:pt idx="8">
                  <c:v>223.9066</c:v>
                </c:pt>
                <c:pt idx="9">
                  <c:v>226.73570000000001</c:v>
                </c:pt>
                <c:pt idx="10">
                  <c:v>225.10550000000001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C-42EE-9BEA-551CFF5DCBE9}"/>
            </c:ext>
          </c:extLst>
        </c:ser>
        <c:ser>
          <c:idx val="2"/>
          <c:order val="2"/>
          <c:tx>
            <c:strRef>
              <c:f>'Chart Data'!$BN$1</c:f>
              <c:strCache>
                <c:ptCount val="1"/>
                <c:pt idx="0">
                  <c:v>2:8</c:v>
                </c:pt>
              </c:strCache>
            </c:strRef>
          </c:tx>
          <c:spPr>
            <a:solidFill>
              <a:srgbClr val="2E7D32"/>
            </a:solidFill>
            <a:ln w="28575">
              <a:solidFill>
                <a:srgbClr val="2E7D32"/>
              </a:solidFill>
              <a:prstDash val="solid"/>
            </a:ln>
            <a:effectLst/>
          </c:spPr>
          <c:invertIfNegative val="0"/>
          <c:cat>
            <c:strRef>
              <c:f>'Chart Data'!$BK$2:$BK$12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Data'!$BN$2:$BN$12</c:f>
              <c:numCache>
                <c:formatCode>General</c:formatCode>
                <c:ptCount val="11"/>
                <c:pt idx="0">
                  <c:v>1.8181</c:v>
                </c:pt>
                <c:pt idx="1">
                  <c:v>4.0381</c:v>
                </c:pt>
                <c:pt idx="2">
                  <c:v>7.1749999999999998</c:v>
                </c:pt>
                <c:pt idx="3">
                  <c:v>16.0976</c:v>
                </c:pt>
                <c:pt idx="4">
                  <c:v>15.924300000000001</c:v>
                </c:pt>
                <c:pt idx="5">
                  <c:v>28.4773</c:v>
                </c:pt>
                <c:pt idx="6">
                  <c:v>28.385899999999999</c:v>
                </c:pt>
                <c:pt idx="7">
                  <c:v>28.4299</c:v>
                </c:pt>
                <c:pt idx="8">
                  <c:v>113.87560000000001</c:v>
                </c:pt>
                <c:pt idx="9">
                  <c:v>113.8514</c:v>
                </c:pt>
                <c:pt idx="10">
                  <c:v>113.20059999999999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C-42EE-9BEA-551CFF5DCBE9}"/>
            </c:ext>
          </c:extLst>
        </c:ser>
        <c:ser>
          <c:idx val="3"/>
          <c:order val="3"/>
          <c:tx>
            <c:strRef>
              <c:f>'Chart Data'!$BO$1</c:f>
              <c:strCache>
                <c:ptCount val="1"/>
                <c:pt idx="0">
                  <c:v>2:16</c:v>
                </c:pt>
              </c:strCache>
            </c:strRef>
          </c:tx>
          <c:spPr>
            <a:solidFill>
              <a:srgbClr val="E69F00"/>
            </a:solidFill>
            <a:ln w="28575">
              <a:solidFill>
                <a:srgbClr val="E69F00"/>
              </a:solidFill>
              <a:prstDash val="solid"/>
            </a:ln>
            <a:effectLst/>
          </c:spPr>
          <c:invertIfNegative val="0"/>
          <c:cat>
            <c:strRef>
              <c:f>'Chart Data'!$BK$2:$BK$12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Data'!$BO$2:$BO$12</c:f>
              <c:numCache>
                <c:formatCode>General</c:formatCode>
                <c:ptCount val="11"/>
                <c:pt idx="0">
                  <c:v>0.91249999999999998</c:v>
                </c:pt>
                <c:pt idx="1">
                  <c:v>2.0398999999999998</c:v>
                </c:pt>
                <c:pt idx="2">
                  <c:v>3.5752000000000002</c:v>
                </c:pt>
                <c:pt idx="3">
                  <c:v>8.0447000000000006</c:v>
                </c:pt>
                <c:pt idx="4">
                  <c:v>7.9032999999999998</c:v>
                </c:pt>
                <c:pt idx="5">
                  <c:v>14.2766</c:v>
                </c:pt>
                <c:pt idx="6">
                  <c:v>14.176500000000001</c:v>
                </c:pt>
                <c:pt idx="7">
                  <c:v>14.080399999999999</c:v>
                </c:pt>
                <c:pt idx="8">
                  <c:v>56.578699999999998</c:v>
                </c:pt>
                <c:pt idx="9">
                  <c:v>56.970500000000001</c:v>
                </c:pt>
                <c:pt idx="10">
                  <c:v>56.651400000000002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C-42EE-9BEA-551CFF5DCBE9}"/>
            </c:ext>
          </c:extLst>
        </c:ser>
        <c:ser>
          <c:idx val="4"/>
          <c:order val="4"/>
          <c:tx>
            <c:strRef>
              <c:f>'Chart Data'!$BP$1</c:f>
              <c:strCache>
                <c:ptCount val="1"/>
                <c:pt idx="0">
                  <c:v>2:32</c:v>
                </c:pt>
              </c:strCache>
            </c:strRef>
          </c:tx>
          <c:spPr>
            <a:solidFill>
              <a:srgbClr val="7030A0"/>
            </a:solidFill>
            <a:ln w="28575">
              <a:solidFill>
                <a:srgbClr val="7030A0"/>
              </a:solidFill>
              <a:prstDash val="solid"/>
            </a:ln>
            <a:effectLst/>
          </c:spPr>
          <c:invertIfNegative val="0"/>
          <c:cat>
            <c:strRef>
              <c:f>'Chart Data'!$BK$2:$BK$12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Data'!$BP$2:$BP$12</c:f>
              <c:numCache>
                <c:formatCode>General</c:formatCode>
                <c:ptCount val="11"/>
                <c:pt idx="0">
                  <c:v>0.4657</c:v>
                </c:pt>
                <c:pt idx="1">
                  <c:v>1.0187999999999999</c:v>
                </c:pt>
                <c:pt idx="2">
                  <c:v>1.7924</c:v>
                </c:pt>
                <c:pt idx="3">
                  <c:v>4.0896999999999997</c:v>
                </c:pt>
                <c:pt idx="4">
                  <c:v>3.9411</c:v>
                </c:pt>
                <c:pt idx="5">
                  <c:v>7.2076000000000002</c:v>
                </c:pt>
                <c:pt idx="6">
                  <c:v>7.05</c:v>
                </c:pt>
                <c:pt idx="7">
                  <c:v>7.1193</c:v>
                </c:pt>
                <c:pt idx="8">
                  <c:v>28.266400000000001</c:v>
                </c:pt>
                <c:pt idx="9">
                  <c:v>28.450299999999999</c:v>
                </c:pt>
                <c:pt idx="10">
                  <c:v>27.9589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0C-42EE-9BEA-551CFF5DCBE9}"/>
            </c:ext>
          </c:extLst>
        </c:ser>
        <c:ser>
          <c:idx val="5"/>
          <c:order val="5"/>
          <c:tx>
            <c:strRef>
              <c:f>'Chart Data'!$BQ$1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00838F"/>
            </a:solidFill>
            <a:ln w="28575">
              <a:solidFill>
                <a:srgbClr val="00838F"/>
              </a:solidFill>
              <a:prstDash val="solid"/>
            </a:ln>
            <a:effectLst/>
          </c:spPr>
          <c:invertIfNegative val="0"/>
          <c:cat>
            <c:strRef>
              <c:f>'Chart Data'!$BK$2:$BK$12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'Chart Data'!$BQ$2:$BQ$12</c:f>
              <c:numCache>
                <c:formatCode>General</c:formatCode>
                <c:ptCount val="11"/>
                <c:pt idx="0">
                  <c:v>1.6601999999999999</c:v>
                </c:pt>
                <c:pt idx="1">
                  <c:v>3.7231000000000001</c:v>
                </c:pt>
                <c:pt idx="2">
                  <c:v>6.4935</c:v>
                </c:pt>
                <c:pt idx="3">
                  <c:v>14.7399</c:v>
                </c:pt>
                <c:pt idx="4">
                  <c:v>14.71</c:v>
                </c:pt>
                <c:pt idx="5">
                  <c:v>26.3139</c:v>
                </c:pt>
                <c:pt idx="6">
                  <c:v>26.0928</c:v>
                </c:pt>
                <c:pt idx="7">
                  <c:v>26.226600000000001</c:v>
                </c:pt>
                <c:pt idx="8">
                  <c:v>104.3351</c:v>
                </c:pt>
                <c:pt idx="9">
                  <c:v>106.1097</c:v>
                </c:pt>
                <c:pt idx="10">
                  <c:v>104.3028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0C-42EE-9BEA-551CFF5DC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1797039"/>
        <c:axId val="31107503"/>
      </c:barChart>
      <c:catAx>
        <c:axId val="41179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31107503"/>
        <c:crosses val="autoZero"/>
        <c:auto val="1"/>
        <c:lblAlgn val="ctr"/>
        <c:lblOffset val="100"/>
        <c:noMultiLvlLbl val="0"/>
      </c:catAx>
      <c:valAx>
        <c:axId val="31107503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per matrix (us,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4117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per matrix element: static vs dynamic (300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Data'!$CA$1</c:f>
              <c:strCache>
                <c:ptCount val="1"/>
                <c:pt idx="0">
                  <c:v>Static (pJ/element)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multiLvlStrRef>
              <c:f>'Chart Data'!$BY$2:$BZ$67</c:f>
              <c:multiLvlStrCache>
                <c:ptCount val="66"/>
                <c:lvl>
                  <c:pt idx="0">
                    <c:v>dense</c:v>
                  </c:pt>
                  <c:pt idx="1">
                    <c:v>2:4</c:v>
                  </c:pt>
                  <c:pt idx="2">
                    <c:v>2:8</c:v>
                  </c:pt>
                  <c:pt idx="3">
                    <c:v>2:16</c:v>
                  </c:pt>
                  <c:pt idx="4">
                    <c:v>2:32</c:v>
                  </c:pt>
                  <c:pt idx="5">
                    <c:v>MIXED</c:v>
                  </c:pt>
                  <c:pt idx="6">
                    <c:v>dense</c:v>
                  </c:pt>
                  <c:pt idx="7">
                    <c:v>2:4</c:v>
                  </c:pt>
                  <c:pt idx="8">
                    <c:v>2:8</c:v>
                  </c:pt>
                  <c:pt idx="9">
                    <c:v>2:16</c:v>
                  </c:pt>
                  <c:pt idx="10">
                    <c:v>2:32</c:v>
                  </c:pt>
                  <c:pt idx="11">
                    <c:v>MIXED</c:v>
                  </c:pt>
                  <c:pt idx="12">
                    <c:v>dense</c:v>
                  </c:pt>
                  <c:pt idx="13">
                    <c:v>2:4</c:v>
                  </c:pt>
                  <c:pt idx="14">
                    <c:v>2:8</c:v>
                  </c:pt>
                  <c:pt idx="15">
                    <c:v>2:16</c:v>
                  </c:pt>
                  <c:pt idx="16">
                    <c:v>2:32</c:v>
                  </c:pt>
                  <c:pt idx="17">
                    <c:v>MIXED</c:v>
                  </c:pt>
                  <c:pt idx="18">
                    <c:v>dense</c:v>
                  </c:pt>
                  <c:pt idx="19">
                    <c:v>2:4</c:v>
                  </c:pt>
                  <c:pt idx="20">
                    <c:v>2:8</c:v>
                  </c:pt>
                  <c:pt idx="21">
                    <c:v>2:16</c:v>
                  </c:pt>
                  <c:pt idx="22">
                    <c:v>2:32</c:v>
                  </c:pt>
                  <c:pt idx="23">
                    <c:v>MIXED</c:v>
                  </c:pt>
                  <c:pt idx="24">
                    <c:v>dense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dense</c:v>
                  </c:pt>
                  <c:pt idx="31">
                    <c:v>2:4</c:v>
                  </c:pt>
                  <c:pt idx="32">
                    <c:v>2:8</c:v>
                  </c:pt>
                  <c:pt idx="33">
                    <c:v>2:16</c:v>
                  </c:pt>
                  <c:pt idx="34">
                    <c:v>2:32</c:v>
                  </c:pt>
                  <c:pt idx="35">
                    <c:v>MIXED</c:v>
                  </c:pt>
                  <c:pt idx="36">
                    <c:v>dense</c:v>
                  </c:pt>
                  <c:pt idx="37">
                    <c:v>2:4</c:v>
                  </c:pt>
                  <c:pt idx="38">
                    <c:v>2:8</c:v>
                  </c:pt>
                  <c:pt idx="39">
                    <c:v>2:16</c:v>
                  </c:pt>
                  <c:pt idx="40">
                    <c:v>2:32</c:v>
                  </c:pt>
                  <c:pt idx="41">
                    <c:v>MIXED</c:v>
                  </c:pt>
                  <c:pt idx="42">
                    <c:v>dense</c:v>
                  </c:pt>
                  <c:pt idx="43">
                    <c:v>2:4</c:v>
                  </c:pt>
                  <c:pt idx="44">
                    <c:v>2:8</c:v>
                  </c:pt>
                  <c:pt idx="45">
                    <c:v>2:16</c:v>
                  </c:pt>
                  <c:pt idx="46">
                    <c:v>2:32</c:v>
                  </c:pt>
                  <c:pt idx="47">
                    <c:v>MIXED</c:v>
                  </c:pt>
                  <c:pt idx="48">
                    <c:v>dense</c:v>
                  </c:pt>
                  <c:pt idx="49">
                    <c:v>2:4</c:v>
                  </c:pt>
                  <c:pt idx="50">
                    <c:v>2:8</c:v>
                  </c:pt>
                  <c:pt idx="51">
                    <c:v>2:16</c:v>
                  </c:pt>
                  <c:pt idx="52">
                    <c:v>2:32</c:v>
                  </c:pt>
                  <c:pt idx="53">
                    <c:v>MIXED</c:v>
                  </c:pt>
                  <c:pt idx="54">
                    <c:v>dense</c:v>
                  </c:pt>
                  <c:pt idx="55">
                    <c:v>2:4</c:v>
                  </c:pt>
                  <c:pt idx="56">
                    <c:v>2:8</c:v>
                  </c:pt>
                  <c:pt idx="57">
                    <c:v>2:16</c:v>
                  </c:pt>
                  <c:pt idx="58">
                    <c:v>2:32</c:v>
                  </c:pt>
                  <c:pt idx="59">
                    <c:v>MIXED</c:v>
                  </c:pt>
                  <c:pt idx="60">
                    <c:v>dense</c:v>
                  </c:pt>
                  <c:pt idx="61">
                    <c:v>2:4</c:v>
                  </c:pt>
                  <c:pt idx="62">
                    <c:v>2:8</c:v>
                  </c:pt>
                  <c:pt idx="63">
                    <c:v>2:16</c:v>
                  </c:pt>
                  <c:pt idx="64">
                    <c:v>2:32</c:v>
                  </c:pt>
                  <c:pt idx="65">
                    <c:v>MIXED</c:v>
                  </c:pt>
                </c:lvl>
                <c:lvl>
                  <c:pt idx="2">
                    <c:v>512x512</c:v>
                  </c:pt>
                  <c:pt idx="8">
                    <c:v>768x768</c:v>
                  </c:pt>
                  <c:pt idx="14">
                    <c:v>1024x1024</c:v>
                  </c:pt>
                  <c:pt idx="20">
                    <c:v>3072x768</c:v>
                  </c:pt>
                  <c:pt idx="26">
                    <c:v>768x3072</c:v>
                  </c:pt>
                  <c:pt idx="32">
                    <c:v>4096x1024</c:v>
                  </c:pt>
                  <c:pt idx="38">
                    <c:v>1024x4096</c:v>
                  </c:pt>
                  <c:pt idx="44">
                    <c:v>2048x2048</c:v>
                  </c:pt>
                  <c:pt idx="50">
                    <c:v>4096x4096</c:v>
                  </c:pt>
                  <c:pt idx="56">
                    <c:v>8192x2048</c:v>
                  </c:pt>
                  <c:pt idx="62">
                    <c:v>2048x8192</c:v>
                  </c:pt>
                </c:lvl>
              </c:multiLvlStrCache>
            </c:multiLvlStrRef>
          </c:cat>
          <c:val>
            <c:numRef>
              <c:f>'Chart Data'!$CA$2:$CA$67</c:f>
              <c:numCache>
                <c:formatCode>General</c:formatCode>
                <c:ptCount val="66"/>
                <c:pt idx="0">
                  <c:v>738.87</c:v>
                </c:pt>
                <c:pt idx="1">
                  <c:v>414.60199999999998</c:v>
                </c:pt>
                <c:pt idx="2">
                  <c:v>212.12899999999999</c:v>
                </c:pt>
                <c:pt idx="3">
                  <c:v>105.71899999999999</c:v>
                </c:pt>
                <c:pt idx="4">
                  <c:v>54.13</c:v>
                </c:pt>
                <c:pt idx="5">
                  <c:v>191.559</c:v>
                </c:pt>
                <c:pt idx="6">
                  <c:v>744.23800000000006</c:v>
                </c:pt>
                <c:pt idx="7">
                  <c:v>411.76299999999998</c:v>
                </c:pt>
                <c:pt idx="8">
                  <c:v>209.4</c:v>
                </c:pt>
                <c:pt idx="9">
                  <c:v>105.038</c:v>
                </c:pt>
                <c:pt idx="10">
                  <c:v>52.631</c:v>
                </c:pt>
                <c:pt idx="11">
                  <c:v>190.92599999999999</c:v>
                </c:pt>
                <c:pt idx="12">
                  <c:v>725.34699999999998</c:v>
                </c:pt>
                <c:pt idx="13">
                  <c:v>417.673</c:v>
                </c:pt>
                <c:pt idx="14">
                  <c:v>209.28800000000001</c:v>
                </c:pt>
                <c:pt idx="15">
                  <c:v>103.55200000000001</c:v>
                </c:pt>
                <c:pt idx="16">
                  <c:v>52.084000000000003</c:v>
                </c:pt>
                <c:pt idx="17">
                  <c:v>187.31</c:v>
                </c:pt>
                <c:pt idx="18">
                  <c:v>734.65300000000002</c:v>
                </c:pt>
                <c:pt idx="19">
                  <c:v>417.08499999999998</c:v>
                </c:pt>
                <c:pt idx="20">
                  <c:v>208.69</c:v>
                </c:pt>
                <c:pt idx="21">
                  <c:v>103.559</c:v>
                </c:pt>
                <c:pt idx="22">
                  <c:v>52.817999999999998</c:v>
                </c:pt>
                <c:pt idx="23">
                  <c:v>188.971</c:v>
                </c:pt>
                <c:pt idx="24">
                  <c:v>740.39499999999998</c:v>
                </c:pt>
                <c:pt idx="25">
                  <c:v>415.46300000000002</c:v>
                </c:pt>
                <c:pt idx="26">
                  <c:v>206.44300000000001</c:v>
                </c:pt>
                <c:pt idx="27">
                  <c:v>101.738</c:v>
                </c:pt>
                <c:pt idx="28">
                  <c:v>50.899000000000001</c:v>
                </c:pt>
                <c:pt idx="29">
                  <c:v>188.58699999999999</c:v>
                </c:pt>
                <c:pt idx="30">
                  <c:v>741.36599999999999</c:v>
                </c:pt>
                <c:pt idx="31">
                  <c:v>412.46100000000001</c:v>
                </c:pt>
                <c:pt idx="32">
                  <c:v>207.66399999999999</c:v>
                </c:pt>
                <c:pt idx="33">
                  <c:v>103.377</c:v>
                </c:pt>
                <c:pt idx="34">
                  <c:v>52.36</c:v>
                </c:pt>
                <c:pt idx="35">
                  <c:v>189.761</c:v>
                </c:pt>
                <c:pt idx="36">
                  <c:v>737.87400000000002</c:v>
                </c:pt>
                <c:pt idx="37">
                  <c:v>414.96499999999997</c:v>
                </c:pt>
                <c:pt idx="38">
                  <c:v>206.99799999999999</c:v>
                </c:pt>
                <c:pt idx="39">
                  <c:v>102.652</c:v>
                </c:pt>
                <c:pt idx="40">
                  <c:v>51.216000000000001</c:v>
                </c:pt>
                <c:pt idx="41">
                  <c:v>188.167</c:v>
                </c:pt>
                <c:pt idx="42">
                  <c:v>735.33</c:v>
                </c:pt>
                <c:pt idx="43">
                  <c:v>418.39499999999998</c:v>
                </c:pt>
                <c:pt idx="44">
                  <c:v>207.31899999999999</c:v>
                </c:pt>
                <c:pt idx="45">
                  <c:v>101.956</c:v>
                </c:pt>
                <c:pt idx="46">
                  <c:v>51.719000000000001</c:v>
                </c:pt>
                <c:pt idx="47">
                  <c:v>189.13200000000001</c:v>
                </c:pt>
                <c:pt idx="48">
                  <c:v>738.17700000000002</c:v>
                </c:pt>
                <c:pt idx="49">
                  <c:v>410.46600000000001</c:v>
                </c:pt>
                <c:pt idx="50">
                  <c:v>207.60300000000001</c:v>
                </c:pt>
                <c:pt idx="51">
                  <c:v>102.422</c:v>
                </c:pt>
                <c:pt idx="52">
                  <c:v>51.335999999999999</c:v>
                </c:pt>
                <c:pt idx="53">
                  <c:v>188.102</c:v>
                </c:pt>
                <c:pt idx="54">
                  <c:v>740.71799999999996</c:v>
                </c:pt>
                <c:pt idx="55">
                  <c:v>415.65199999999999</c:v>
                </c:pt>
                <c:pt idx="56">
                  <c:v>207.559</c:v>
                </c:pt>
                <c:pt idx="57">
                  <c:v>103.131</c:v>
                </c:pt>
                <c:pt idx="58">
                  <c:v>51.67</c:v>
                </c:pt>
                <c:pt idx="59">
                  <c:v>191.30099999999999</c:v>
                </c:pt>
                <c:pt idx="60">
                  <c:v>741.90099999999995</c:v>
                </c:pt>
                <c:pt idx="61">
                  <c:v>412.66399999999999</c:v>
                </c:pt>
                <c:pt idx="62">
                  <c:v>206.37200000000001</c:v>
                </c:pt>
                <c:pt idx="63">
                  <c:v>102.553</c:v>
                </c:pt>
                <c:pt idx="64">
                  <c:v>50.777999999999999</c:v>
                </c:pt>
                <c:pt idx="65">
                  <c:v>188.04400000000001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6-4581-92ED-65598036D15B}"/>
            </c:ext>
          </c:extLst>
        </c:ser>
        <c:ser>
          <c:idx val="1"/>
          <c:order val="1"/>
          <c:tx>
            <c:strRef>
              <c:f>'Chart Data'!$CB$1</c:f>
              <c:strCache>
                <c:ptCount val="1"/>
                <c:pt idx="0">
                  <c:v>Dynamic (pJ/element)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multiLvlStrRef>
              <c:f>'Chart Data'!$BY$2:$BZ$67</c:f>
              <c:multiLvlStrCache>
                <c:ptCount val="66"/>
                <c:lvl>
                  <c:pt idx="0">
                    <c:v>dense</c:v>
                  </c:pt>
                  <c:pt idx="1">
                    <c:v>2:4</c:v>
                  </c:pt>
                  <c:pt idx="2">
                    <c:v>2:8</c:v>
                  </c:pt>
                  <c:pt idx="3">
                    <c:v>2:16</c:v>
                  </c:pt>
                  <c:pt idx="4">
                    <c:v>2:32</c:v>
                  </c:pt>
                  <c:pt idx="5">
                    <c:v>MIXED</c:v>
                  </c:pt>
                  <c:pt idx="6">
                    <c:v>dense</c:v>
                  </c:pt>
                  <c:pt idx="7">
                    <c:v>2:4</c:v>
                  </c:pt>
                  <c:pt idx="8">
                    <c:v>2:8</c:v>
                  </c:pt>
                  <c:pt idx="9">
                    <c:v>2:16</c:v>
                  </c:pt>
                  <c:pt idx="10">
                    <c:v>2:32</c:v>
                  </c:pt>
                  <c:pt idx="11">
                    <c:v>MIXED</c:v>
                  </c:pt>
                  <c:pt idx="12">
                    <c:v>dense</c:v>
                  </c:pt>
                  <c:pt idx="13">
                    <c:v>2:4</c:v>
                  </c:pt>
                  <c:pt idx="14">
                    <c:v>2:8</c:v>
                  </c:pt>
                  <c:pt idx="15">
                    <c:v>2:16</c:v>
                  </c:pt>
                  <c:pt idx="16">
                    <c:v>2:32</c:v>
                  </c:pt>
                  <c:pt idx="17">
                    <c:v>MIXED</c:v>
                  </c:pt>
                  <c:pt idx="18">
                    <c:v>dense</c:v>
                  </c:pt>
                  <c:pt idx="19">
                    <c:v>2:4</c:v>
                  </c:pt>
                  <c:pt idx="20">
                    <c:v>2:8</c:v>
                  </c:pt>
                  <c:pt idx="21">
                    <c:v>2:16</c:v>
                  </c:pt>
                  <c:pt idx="22">
                    <c:v>2:32</c:v>
                  </c:pt>
                  <c:pt idx="23">
                    <c:v>MIXED</c:v>
                  </c:pt>
                  <c:pt idx="24">
                    <c:v>dense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dense</c:v>
                  </c:pt>
                  <c:pt idx="31">
                    <c:v>2:4</c:v>
                  </c:pt>
                  <c:pt idx="32">
                    <c:v>2:8</c:v>
                  </c:pt>
                  <c:pt idx="33">
                    <c:v>2:16</c:v>
                  </c:pt>
                  <c:pt idx="34">
                    <c:v>2:32</c:v>
                  </c:pt>
                  <c:pt idx="35">
                    <c:v>MIXED</c:v>
                  </c:pt>
                  <c:pt idx="36">
                    <c:v>dense</c:v>
                  </c:pt>
                  <c:pt idx="37">
                    <c:v>2:4</c:v>
                  </c:pt>
                  <c:pt idx="38">
                    <c:v>2:8</c:v>
                  </c:pt>
                  <c:pt idx="39">
                    <c:v>2:16</c:v>
                  </c:pt>
                  <c:pt idx="40">
                    <c:v>2:32</c:v>
                  </c:pt>
                  <c:pt idx="41">
                    <c:v>MIXED</c:v>
                  </c:pt>
                  <c:pt idx="42">
                    <c:v>dense</c:v>
                  </c:pt>
                  <c:pt idx="43">
                    <c:v>2:4</c:v>
                  </c:pt>
                  <c:pt idx="44">
                    <c:v>2:8</c:v>
                  </c:pt>
                  <c:pt idx="45">
                    <c:v>2:16</c:v>
                  </c:pt>
                  <c:pt idx="46">
                    <c:v>2:32</c:v>
                  </c:pt>
                  <c:pt idx="47">
                    <c:v>MIXED</c:v>
                  </c:pt>
                  <c:pt idx="48">
                    <c:v>dense</c:v>
                  </c:pt>
                  <c:pt idx="49">
                    <c:v>2:4</c:v>
                  </c:pt>
                  <c:pt idx="50">
                    <c:v>2:8</c:v>
                  </c:pt>
                  <c:pt idx="51">
                    <c:v>2:16</c:v>
                  </c:pt>
                  <c:pt idx="52">
                    <c:v>2:32</c:v>
                  </c:pt>
                  <c:pt idx="53">
                    <c:v>MIXED</c:v>
                  </c:pt>
                  <c:pt idx="54">
                    <c:v>dense</c:v>
                  </c:pt>
                  <c:pt idx="55">
                    <c:v>2:4</c:v>
                  </c:pt>
                  <c:pt idx="56">
                    <c:v>2:8</c:v>
                  </c:pt>
                  <c:pt idx="57">
                    <c:v>2:16</c:v>
                  </c:pt>
                  <c:pt idx="58">
                    <c:v>2:32</c:v>
                  </c:pt>
                  <c:pt idx="59">
                    <c:v>MIXED</c:v>
                  </c:pt>
                  <c:pt idx="60">
                    <c:v>dense</c:v>
                  </c:pt>
                  <c:pt idx="61">
                    <c:v>2:4</c:v>
                  </c:pt>
                  <c:pt idx="62">
                    <c:v>2:8</c:v>
                  </c:pt>
                  <c:pt idx="63">
                    <c:v>2:16</c:v>
                  </c:pt>
                  <c:pt idx="64">
                    <c:v>2:32</c:v>
                  </c:pt>
                  <c:pt idx="65">
                    <c:v>MIXED</c:v>
                  </c:pt>
                </c:lvl>
                <c:lvl>
                  <c:pt idx="2">
                    <c:v>512x512</c:v>
                  </c:pt>
                  <c:pt idx="8">
                    <c:v>768x768</c:v>
                  </c:pt>
                  <c:pt idx="14">
                    <c:v>1024x1024</c:v>
                  </c:pt>
                  <c:pt idx="20">
                    <c:v>3072x768</c:v>
                  </c:pt>
                  <c:pt idx="26">
                    <c:v>768x3072</c:v>
                  </c:pt>
                  <c:pt idx="32">
                    <c:v>4096x1024</c:v>
                  </c:pt>
                  <c:pt idx="38">
                    <c:v>1024x4096</c:v>
                  </c:pt>
                  <c:pt idx="44">
                    <c:v>2048x2048</c:v>
                  </c:pt>
                  <c:pt idx="50">
                    <c:v>4096x4096</c:v>
                  </c:pt>
                  <c:pt idx="56">
                    <c:v>8192x2048</c:v>
                  </c:pt>
                  <c:pt idx="62">
                    <c:v>2048x8192</c:v>
                  </c:pt>
                </c:lvl>
              </c:multiLvlStrCache>
            </c:multiLvlStrRef>
          </c:cat>
          <c:val>
            <c:numRef>
              <c:f>'Chart Data'!$CB$2:$CB$67</c:f>
              <c:numCache>
                <c:formatCode>General</c:formatCode>
                <c:ptCount val="66"/>
                <c:pt idx="0">
                  <c:v>118.574</c:v>
                </c:pt>
                <c:pt idx="1">
                  <c:v>69.518000000000001</c:v>
                </c:pt>
                <c:pt idx="2">
                  <c:v>36.862000000000002</c:v>
                </c:pt>
                <c:pt idx="3">
                  <c:v>19.074999999999999</c:v>
                </c:pt>
                <c:pt idx="4">
                  <c:v>9.6460000000000008</c:v>
                </c:pt>
                <c:pt idx="5">
                  <c:v>36.340000000000003</c:v>
                </c:pt>
                <c:pt idx="6">
                  <c:v>119.43600000000001</c:v>
                </c:pt>
                <c:pt idx="7">
                  <c:v>69.042000000000002</c:v>
                </c:pt>
                <c:pt idx="8">
                  <c:v>36.387999999999998</c:v>
                </c:pt>
                <c:pt idx="9">
                  <c:v>18.952999999999999</c:v>
                </c:pt>
                <c:pt idx="10">
                  <c:v>9.3789999999999996</c:v>
                </c:pt>
                <c:pt idx="11">
                  <c:v>36.22</c:v>
                </c:pt>
                <c:pt idx="12">
                  <c:v>116.404</c:v>
                </c:pt>
                <c:pt idx="13">
                  <c:v>70.033000000000001</c:v>
                </c:pt>
                <c:pt idx="14">
                  <c:v>36.368000000000002</c:v>
                </c:pt>
                <c:pt idx="15">
                  <c:v>18.684000000000001</c:v>
                </c:pt>
                <c:pt idx="16">
                  <c:v>9.282</c:v>
                </c:pt>
                <c:pt idx="17">
                  <c:v>35.533999999999999</c:v>
                </c:pt>
                <c:pt idx="18">
                  <c:v>117.898</c:v>
                </c:pt>
                <c:pt idx="19">
                  <c:v>69.933999999999997</c:v>
                </c:pt>
                <c:pt idx="20">
                  <c:v>36.265000000000001</c:v>
                </c:pt>
                <c:pt idx="21">
                  <c:v>18.686</c:v>
                </c:pt>
                <c:pt idx="22">
                  <c:v>9.4130000000000003</c:v>
                </c:pt>
                <c:pt idx="23">
                  <c:v>35.848999999999997</c:v>
                </c:pt>
                <c:pt idx="24">
                  <c:v>118.819</c:v>
                </c:pt>
                <c:pt idx="25">
                  <c:v>69.662999999999997</c:v>
                </c:pt>
                <c:pt idx="26">
                  <c:v>35.874000000000002</c:v>
                </c:pt>
                <c:pt idx="27">
                  <c:v>18.356999999999999</c:v>
                </c:pt>
                <c:pt idx="28">
                  <c:v>9.0709999999999997</c:v>
                </c:pt>
                <c:pt idx="29">
                  <c:v>35.776000000000003</c:v>
                </c:pt>
                <c:pt idx="30">
                  <c:v>118.97499999999999</c:v>
                </c:pt>
                <c:pt idx="31">
                  <c:v>69.159000000000006</c:v>
                </c:pt>
                <c:pt idx="32">
                  <c:v>36.085999999999999</c:v>
                </c:pt>
                <c:pt idx="33">
                  <c:v>18.652999999999999</c:v>
                </c:pt>
                <c:pt idx="34">
                  <c:v>9.3309999999999995</c:v>
                </c:pt>
                <c:pt idx="35">
                  <c:v>35.999000000000002</c:v>
                </c:pt>
                <c:pt idx="36">
                  <c:v>118.41500000000001</c:v>
                </c:pt>
                <c:pt idx="37">
                  <c:v>69.578999999999994</c:v>
                </c:pt>
                <c:pt idx="38">
                  <c:v>35.97</c:v>
                </c:pt>
                <c:pt idx="39">
                  <c:v>18.521999999999998</c:v>
                </c:pt>
                <c:pt idx="40">
                  <c:v>9.1270000000000007</c:v>
                </c:pt>
                <c:pt idx="41">
                  <c:v>35.695999999999998</c:v>
                </c:pt>
                <c:pt idx="42">
                  <c:v>118.006</c:v>
                </c:pt>
                <c:pt idx="43">
                  <c:v>70.153999999999996</c:v>
                </c:pt>
                <c:pt idx="44">
                  <c:v>36.026000000000003</c:v>
                </c:pt>
                <c:pt idx="45">
                  <c:v>18.396999999999998</c:v>
                </c:pt>
                <c:pt idx="46">
                  <c:v>9.2170000000000005</c:v>
                </c:pt>
                <c:pt idx="47">
                  <c:v>35.878999999999998</c:v>
                </c:pt>
                <c:pt idx="48">
                  <c:v>118.46299999999999</c:v>
                </c:pt>
                <c:pt idx="49">
                  <c:v>68.825000000000003</c:v>
                </c:pt>
                <c:pt idx="50">
                  <c:v>36.076000000000001</c:v>
                </c:pt>
                <c:pt idx="51">
                  <c:v>18.48</c:v>
                </c:pt>
                <c:pt idx="52">
                  <c:v>9.1489999999999991</c:v>
                </c:pt>
                <c:pt idx="53">
                  <c:v>35.683999999999997</c:v>
                </c:pt>
                <c:pt idx="54">
                  <c:v>118.871</c:v>
                </c:pt>
                <c:pt idx="55">
                  <c:v>69.694000000000003</c:v>
                </c:pt>
                <c:pt idx="56">
                  <c:v>36.067999999999998</c:v>
                </c:pt>
                <c:pt idx="57">
                  <c:v>18.608000000000001</c:v>
                </c:pt>
                <c:pt idx="58">
                  <c:v>9.2080000000000002</c:v>
                </c:pt>
                <c:pt idx="59">
                  <c:v>36.290999999999997</c:v>
                </c:pt>
                <c:pt idx="60">
                  <c:v>119.06100000000001</c:v>
                </c:pt>
                <c:pt idx="61">
                  <c:v>69.192999999999998</c:v>
                </c:pt>
                <c:pt idx="62">
                  <c:v>35.862000000000002</c:v>
                </c:pt>
                <c:pt idx="63">
                  <c:v>18.504000000000001</c:v>
                </c:pt>
                <c:pt idx="64">
                  <c:v>9.0489999999999995</c:v>
                </c:pt>
                <c:pt idx="65">
                  <c:v>35.673000000000002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6-4581-92ED-65598036D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1476544"/>
        <c:axId val="1409027184"/>
      </c:barChart>
      <c:catAx>
        <c:axId val="148147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409027184"/>
        <c:crosses val="autoZero"/>
        <c:auto val="1"/>
        <c:lblAlgn val="ctr"/>
        <c:lblOffset val="100"/>
        <c:noMultiLvlLbl val="0"/>
      </c:catAx>
      <c:valAx>
        <c:axId val="1409027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48147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energy to complete each matrix: static vs dynamic (300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Data'!$CF$1</c:f>
              <c:strCache>
                <c:ptCount val="1"/>
                <c:pt idx="0">
                  <c:v>Static (uJ)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multiLvlStrRef>
              <c:f>'Chart Data'!$CD$2:$CE$67</c:f>
              <c:multiLvlStrCache>
                <c:ptCount val="66"/>
                <c:lvl>
                  <c:pt idx="0">
                    <c:v>dense</c:v>
                  </c:pt>
                  <c:pt idx="1">
                    <c:v>2:4</c:v>
                  </c:pt>
                  <c:pt idx="2">
                    <c:v>2:8</c:v>
                  </c:pt>
                  <c:pt idx="3">
                    <c:v>2:16</c:v>
                  </c:pt>
                  <c:pt idx="4">
                    <c:v>2:32</c:v>
                  </c:pt>
                  <c:pt idx="5">
                    <c:v>MIXED</c:v>
                  </c:pt>
                  <c:pt idx="6">
                    <c:v>dense</c:v>
                  </c:pt>
                  <c:pt idx="7">
                    <c:v>2:4</c:v>
                  </c:pt>
                  <c:pt idx="8">
                    <c:v>2:8</c:v>
                  </c:pt>
                  <c:pt idx="9">
                    <c:v>2:16</c:v>
                  </c:pt>
                  <c:pt idx="10">
                    <c:v>2:32</c:v>
                  </c:pt>
                  <c:pt idx="11">
                    <c:v>MIXED</c:v>
                  </c:pt>
                  <c:pt idx="12">
                    <c:v>dense</c:v>
                  </c:pt>
                  <c:pt idx="13">
                    <c:v>2:4</c:v>
                  </c:pt>
                  <c:pt idx="14">
                    <c:v>2:8</c:v>
                  </c:pt>
                  <c:pt idx="15">
                    <c:v>2:16</c:v>
                  </c:pt>
                  <c:pt idx="16">
                    <c:v>2:32</c:v>
                  </c:pt>
                  <c:pt idx="17">
                    <c:v>MIXED</c:v>
                  </c:pt>
                  <c:pt idx="18">
                    <c:v>dense</c:v>
                  </c:pt>
                  <c:pt idx="19">
                    <c:v>2:4</c:v>
                  </c:pt>
                  <c:pt idx="20">
                    <c:v>2:8</c:v>
                  </c:pt>
                  <c:pt idx="21">
                    <c:v>2:16</c:v>
                  </c:pt>
                  <c:pt idx="22">
                    <c:v>2:32</c:v>
                  </c:pt>
                  <c:pt idx="23">
                    <c:v>MIXED</c:v>
                  </c:pt>
                  <c:pt idx="24">
                    <c:v>dense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dense</c:v>
                  </c:pt>
                  <c:pt idx="31">
                    <c:v>2:4</c:v>
                  </c:pt>
                  <c:pt idx="32">
                    <c:v>2:8</c:v>
                  </c:pt>
                  <c:pt idx="33">
                    <c:v>2:16</c:v>
                  </c:pt>
                  <c:pt idx="34">
                    <c:v>2:32</c:v>
                  </c:pt>
                  <c:pt idx="35">
                    <c:v>MIXED</c:v>
                  </c:pt>
                  <c:pt idx="36">
                    <c:v>dense</c:v>
                  </c:pt>
                  <c:pt idx="37">
                    <c:v>2:4</c:v>
                  </c:pt>
                  <c:pt idx="38">
                    <c:v>2:8</c:v>
                  </c:pt>
                  <c:pt idx="39">
                    <c:v>2:16</c:v>
                  </c:pt>
                  <c:pt idx="40">
                    <c:v>2:32</c:v>
                  </c:pt>
                  <c:pt idx="41">
                    <c:v>MIXED</c:v>
                  </c:pt>
                  <c:pt idx="42">
                    <c:v>dense</c:v>
                  </c:pt>
                  <c:pt idx="43">
                    <c:v>2:4</c:v>
                  </c:pt>
                  <c:pt idx="44">
                    <c:v>2:8</c:v>
                  </c:pt>
                  <c:pt idx="45">
                    <c:v>2:16</c:v>
                  </c:pt>
                  <c:pt idx="46">
                    <c:v>2:32</c:v>
                  </c:pt>
                  <c:pt idx="47">
                    <c:v>MIXED</c:v>
                  </c:pt>
                  <c:pt idx="48">
                    <c:v>dense</c:v>
                  </c:pt>
                  <c:pt idx="49">
                    <c:v>2:4</c:v>
                  </c:pt>
                  <c:pt idx="50">
                    <c:v>2:8</c:v>
                  </c:pt>
                  <c:pt idx="51">
                    <c:v>2:16</c:v>
                  </c:pt>
                  <c:pt idx="52">
                    <c:v>2:32</c:v>
                  </c:pt>
                  <c:pt idx="53">
                    <c:v>MIXED</c:v>
                  </c:pt>
                  <c:pt idx="54">
                    <c:v>dense</c:v>
                  </c:pt>
                  <c:pt idx="55">
                    <c:v>2:4</c:v>
                  </c:pt>
                  <c:pt idx="56">
                    <c:v>2:8</c:v>
                  </c:pt>
                  <c:pt idx="57">
                    <c:v>2:16</c:v>
                  </c:pt>
                  <c:pt idx="58">
                    <c:v>2:32</c:v>
                  </c:pt>
                  <c:pt idx="59">
                    <c:v>MIXED</c:v>
                  </c:pt>
                  <c:pt idx="60">
                    <c:v>dense</c:v>
                  </c:pt>
                  <c:pt idx="61">
                    <c:v>2:4</c:v>
                  </c:pt>
                  <c:pt idx="62">
                    <c:v>2:8</c:v>
                  </c:pt>
                  <c:pt idx="63">
                    <c:v>2:16</c:v>
                  </c:pt>
                  <c:pt idx="64">
                    <c:v>2:32</c:v>
                  </c:pt>
                  <c:pt idx="65">
                    <c:v>MIXED</c:v>
                  </c:pt>
                </c:lvl>
                <c:lvl>
                  <c:pt idx="0">
                    <c:v>512x512</c:v>
                  </c:pt>
                  <c:pt idx="6">
                    <c:v>768x768</c:v>
                  </c:pt>
                  <c:pt idx="12">
                    <c:v>1024x1024</c:v>
                  </c:pt>
                  <c:pt idx="18">
                    <c:v>3072x768</c:v>
                  </c:pt>
                  <c:pt idx="24">
                    <c:v>768x3072</c:v>
                  </c:pt>
                  <c:pt idx="30">
                    <c:v>4096x1024</c:v>
                  </c:pt>
                  <c:pt idx="36">
                    <c:v>1024x4096</c:v>
                  </c:pt>
                  <c:pt idx="42">
                    <c:v>2048x2048</c:v>
                  </c:pt>
                  <c:pt idx="48">
                    <c:v>4096x4096</c:v>
                  </c:pt>
                  <c:pt idx="54">
                    <c:v>8192x2048</c:v>
                  </c:pt>
                  <c:pt idx="60">
                    <c:v>2048x8192</c:v>
                  </c:pt>
                </c:lvl>
              </c:multiLvlStrCache>
            </c:multiLvlStrRef>
          </c:cat>
          <c:val>
            <c:numRef>
              <c:f>'Chart Data'!$CF$2:$CF$67</c:f>
              <c:numCache>
                <c:formatCode>General</c:formatCode>
                <c:ptCount val="66"/>
                <c:pt idx="0">
                  <c:v>193.69</c:v>
                </c:pt>
                <c:pt idx="1">
                  <c:v>108.68600000000001</c:v>
                </c:pt>
                <c:pt idx="2">
                  <c:v>55.607999999999997</c:v>
                </c:pt>
                <c:pt idx="3">
                  <c:v>27.713999999999999</c:v>
                </c:pt>
                <c:pt idx="4">
                  <c:v>14.19</c:v>
                </c:pt>
                <c:pt idx="5">
                  <c:v>50.216000000000001</c:v>
                </c:pt>
                <c:pt idx="6">
                  <c:v>438.96899999999999</c:v>
                </c:pt>
                <c:pt idx="7">
                  <c:v>242.86799999999999</c:v>
                </c:pt>
                <c:pt idx="8">
                  <c:v>123.509</c:v>
                </c:pt>
                <c:pt idx="9">
                  <c:v>61.954000000000001</c:v>
                </c:pt>
                <c:pt idx="10">
                  <c:v>31.042999999999999</c:v>
                </c:pt>
                <c:pt idx="11">
                  <c:v>112.613</c:v>
                </c:pt>
                <c:pt idx="12">
                  <c:v>760.58100000000002</c:v>
                </c:pt>
                <c:pt idx="13">
                  <c:v>437.96199999999999</c:v>
                </c:pt>
                <c:pt idx="14">
                  <c:v>219.45500000000001</c:v>
                </c:pt>
                <c:pt idx="15">
                  <c:v>108.58199999999999</c:v>
                </c:pt>
                <c:pt idx="16">
                  <c:v>54.613999999999997</c:v>
                </c:pt>
                <c:pt idx="17">
                  <c:v>196.40899999999999</c:v>
                </c:pt>
                <c:pt idx="18">
                  <c:v>1733.2639999999999</c:v>
                </c:pt>
                <c:pt idx="19">
                  <c:v>984.02599999999995</c:v>
                </c:pt>
                <c:pt idx="20">
                  <c:v>492.36099999999999</c:v>
                </c:pt>
                <c:pt idx="21">
                  <c:v>244.32599999999999</c:v>
                </c:pt>
                <c:pt idx="22">
                  <c:v>124.613</c:v>
                </c:pt>
                <c:pt idx="23">
                  <c:v>445.83800000000002</c:v>
                </c:pt>
                <c:pt idx="24">
                  <c:v>1746.8119999999999</c:v>
                </c:pt>
                <c:pt idx="25">
                  <c:v>980.2</c:v>
                </c:pt>
                <c:pt idx="26">
                  <c:v>487.06099999999998</c:v>
                </c:pt>
                <c:pt idx="27">
                  <c:v>240.03100000000001</c:v>
                </c:pt>
                <c:pt idx="28">
                  <c:v>120.08499999999999</c:v>
                </c:pt>
                <c:pt idx="29">
                  <c:v>444.93299999999999</c:v>
                </c:pt>
                <c:pt idx="30">
                  <c:v>3109.5140000000001</c:v>
                </c:pt>
                <c:pt idx="31">
                  <c:v>1729.9849999999999</c:v>
                </c:pt>
                <c:pt idx="32">
                  <c:v>871.00699999999995</c:v>
                </c:pt>
                <c:pt idx="33">
                  <c:v>433.59500000000003</c:v>
                </c:pt>
                <c:pt idx="34">
                  <c:v>219.61600000000001</c:v>
                </c:pt>
                <c:pt idx="35">
                  <c:v>795.91700000000003</c:v>
                </c:pt>
                <c:pt idx="36">
                  <c:v>3094.866</c:v>
                </c:pt>
                <c:pt idx="37">
                  <c:v>1740.4880000000001</c:v>
                </c:pt>
                <c:pt idx="38">
                  <c:v>868.21100000000001</c:v>
                </c:pt>
                <c:pt idx="39">
                  <c:v>430.55399999999997</c:v>
                </c:pt>
                <c:pt idx="40">
                  <c:v>214.81299999999999</c:v>
                </c:pt>
                <c:pt idx="41">
                  <c:v>789.22900000000004</c:v>
                </c:pt>
                <c:pt idx="42">
                  <c:v>3084.1959999999999</c:v>
                </c:pt>
                <c:pt idx="43">
                  <c:v>1754.876</c:v>
                </c:pt>
                <c:pt idx="44">
                  <c:v>869.55700000000002</c:v>
                </c:pt>
                <c:pt idx="45">
                  <c:v>427.63600000000002</c:v>
                </c:pt>
                <c:pt idx="46">
                  <c:v>216.92500000000001</c:v>
                </c:pt>
                <c:pt idx="47">
                  <c:v>793.27599999999995</c:v>
                </c:pt>
                <c:pt idx="48">
                  <c:v>12384.550999999999</c:v>
                </c:pt>
                <c:pt idx="49">
                  <c:v>6886.4709999999995</c:v>
                </c:pt>
                <c:pt idx="50">
                  <c:v>3482.9989999999998</c:v>
                </c:pt>
                <c:pt idx="51">
                  <c:v>1718.3520000000001</c:v>
                </c:pt>
                <c:pt idx="52">
                  <c:v>861.27700000000004</c:v>
                </c:pt>
                <c:pt idx="53">
                  <c:v>3155.8240000000001</c:v>
                </c:pt>
                <c:pt idx="54">
                  <c:v>12427.188</c:v>
                </c:pt>
                <c:pt idx="55">
                  <c:v>6973.4830000000002</c:v>
                </c:pt>
                <c:pt idx="56">
                  <c:v>3482.259</c:v>
                </c:pt>
                <c:pt idx="57">
                  <c:v>1730.251</c:v>
                </c:pt>
                <c:pt idx="58">
                  <c:v>866.88099999999997</c:v>
                </c:pt>
                <c:pt idx="59">
                  <c:v>3209.5</c:v>
                </c:pt>
                <c:pt idx="60">
                  <c:v>12447.026</c:v>
                </c:pt>
                <c:pt idx="61">
                  <c:v>6923.3450000000003</c:v>
                </c:pt>
                <c:pt idx="62">
                  <c:v>3462.3539999999998</c:v>
                </c:pt>
                <c:pt idx="63">
                  <c:v>1720.56</c:v>
                </c:pt>
                <c:pt idx="64">
                  <c:v>851.90800000000002</c:v>
                </c:pt>
                <c:pt idx="65">
                  <c:v>3154.8470000000002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B-4C53-9C99-24892CEAEF85}"/>
            </c:ext>
          </c:extLst>
        </c:ser>
        <c:ser>
          <c:idx val="1"/>
          <c:order val="1"/>
          <c:tx>
            <c:strRef>
              <c:f>'Chart Data'!$CG$1</c:f>
              <c:strCache>
                <c:ptCount val="1"/>
                <c:pt idx="0">
                  <c:v>Dynamic (uJ)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multiLvlStrRef>
              <c:f>'Chart Data'!$CD$2:$CE$67</c:f>
              <c:multiLvlStrCache>
                <c:ptCount val="66"/>
                <c:lvl>
                  <c:pt idx="0">
                    <c:v>dense</c:v>
                  </c:pt>
                  <c:pt idx="1">
                    <c:v>2:4</c:v>
                  </c:pt>
                  <c:pt idx="2">
                    <c:v>2:8</c:v>
                  </c:pt>
                  <c:pt idx="3">
                    <c:v>2:16</c:v>
                  </c:pt>
                  <c:pt idx="4">
                    <c:v>2:32</c:v>
                  </c:pt>
                  <c:pt idx="5">
                    <c:v>MIXED</c:v>
                  </c:pt>
                  <c:pt idx="6">
                    <c:v>dense</c:v>
                  </c:pt>
                  <c:pt idx="7">
                    <c:v>2:4</c:v>
                  </c:pt>
                  <c:pt idx="8">
                    <c:v>2:8</c:v>
                  </c:pt>
                  <c:pt idx="9">
                    <c:v>2:16</c:v>
                  </c:pt>
                  <c:pt idx="10">
                    <c:v>2:32</c:v>
                  </c:pt>
                  <c:pt idx="11">
                    <c:v>MIXED</c:v>
                  </c:pt>
                  <c:pt idx="12">
                    <c:v>dense</c:v>
                  </c:pt>
                  <c:pt idx="13">
                    <c:v>2:4</c:v>
                  </c:pt>
                  <c:pt idx="14">
                    <c:v>2:8</c:v>
                  </c:pt>
                  <c:pt idx="15">
                    <c:v>2:16</c:v>
                  </c:pt>
                  <c:pt idx="16">
                    <c:v>2:32</c:v>
                  </c:pt>
                  <c:pt idx="17">
                    <c:v>MIXED</c:v>
                  </c:pt>
                  <c:pt idx="18">
                    <c:v>dense</c:v>
                  </c:pt>
                  <c:pt idx="19">
                    <c:v>2:4</c:v>
                  </c:pt>
                  <c:pt idx="20">
                    <c:v>2:8</c:v>
                  </c:pt>
                  <c:pt idx="21">
                    <c:v>2:16</c:v>
                  </c:pt>
                  <c:pt idx="22">
                    <c:v>2:32</c:v>
                  </c:pt>
                  <c:pt idx="23">
                    <c:v>MIXED</c:v>
                  </c:pt>
                  <c:pt idx="24">
                    <c:v>dense</c:v>
                  </c:pt>
                  <c:pt idx="25">
                    <c:v>2:4</c:v>
                  </c:pt>
                  <c:pt idx="26">
                    <c:v>2:8</c:v>
                  </c:pt>
                  <c:pt idx="27">
                    <c:v>2:16</c:v>
                  </c:pt>
                  <c:pt idx="28">
                    <c:v>2:32</c:v>
                  </c:pt>
                  <c:pt idx="29">
                    <c:v>MIXED</c:v>
                  </c:pt>
                  <c:pt idx="30">
                    <c:v>dense</c:v>
                  </c:pt>
                  <c:pt idx="31">
                    <c:v>2:4</c:v>
                  </c:pt>
                  <c:pt idx="32">
                    <c:v>2:8</c:v>
                  </c:pt>
                  <c:pt idx="33">
                    <c:v>2:16</c:v>
                  </c:pt>
                  <c:pt idx="34">
                    <c:v>2:32</c:v>
                  </c:pt>
                  <c:pt idx="35">
                    <c:v>MIXED</c:v>
                  </c:pt>
                  <c:pt idx="36">
                    <c:v>dense</c:v>
                  </c:pt>
                  <c:pt idx="37">
                    <c:v>2:4</c:v>
                  </c:pt>
                  <c:pt idx="38">
                    <c:v>2:8</c:v>
                  </c:pt>
                  <c:pt idx="39">
                    <c:v>2:16</c:v>
                  </c:pt>
                  <c:pt idx="40">
                    <c:v>2:32</c:v>
                  </c:pt>
                  <c:pt idx="41">
                    <c:v>MIXED</c:v>
                  </c:pt>
                  <c:pt idx="42">
                    <c:v>dense</c:v>
                  </c:pt>
                  <c:pt idx="43">
                    <c:v>2:4</c:v>
                  </c:pt>
                  <c:pt idx="44">
                    <c:v>2:8</c:v>
                  </c:pt>
                  <c:pt idx="45">
                    <c:v>2:16</c:v>
                  </c:pt>
                  <c:pt idx="46">
                    <c:v>2:32</c:v>
                  </c:pt>
                  <c:pt idx="47">
                    <c:v>MIXED</c:v>
                  </c:pt>
                  <c:pt idx="48">
                    <c:v>dense</c:v>
                  </c:pt>
                  <c:pt idx="49">
                    <c:v>2:4</c:v>
                  </c:pt>
                  <c:pt idx="50">
                    <c:v>2:8</c:v>
                  </c:pt>
                  <c:pt idx="51">
                    <c:v>2:16</c:v>
                  </c:pt>
                  <c:pt idx="52">
                    <c:v>2:32</c:v>
                  </c:pt>
                  <c:pt idx="53">
                    <c:v>MIXED</c:v>
                  </c:pt>
                  <c:pt idx="54">
                    <c:v>dense</c:v>
                  </c:pt>
                  <c:pt idx="55">
                    <c:v>2:4</c:v>
                  </c:pt>
                  <c:pt idx="56">
                    <c:v>2:8</c:v>
                  </c:pt>
                  <c:pt idx="57">
                    <c:v>2:16</c:v>
                  </c:pt>
                  <c:pt idx="58">
                    <c:v>2:32</c:v>
                  </c:pt>
                  <c:pt idx="59">
                    <c:v>MIXED</c:v>
                  </c:pt>
                  <c:pt idx="60">
                    <c:v>dense</c:v>
                  </c:pt>
                  <c:pt idx="61">
                    <c:v>2:4</c:v>
                  </c:pt>
                  <c:pt idx="62">
                    <c:v>2:8</c:v>
                  </c:pt>
                  <c:pt idx="63">
                    <c:v>2:16</c:v>
                  </c:pt>
                  <c:pt idx="64">
                    <c:v>2:32</c:v>
                  </c:pt>
                  <c:pt idx="65">
                    <c:v>MIXED</c:v>
                  </c:pt>
                </c:lvl>
                <c:lvl>
                  <c:pt idx="0">
                    <c:v>512x512</c:v>
                  </c:pt>
                  <c:pt idx="6">
                    <c:v>768x768</c:v>
                  </c:pt>
                  <c:pt idx="12">
                    <c:v>1024x1024</c:v>
                  </c:pt>
                  <c:pt idx="18">
                    <c:v>3072x768</c:v>
                  </c:pt>
                  <c:pt idx="24">
                    <c:v>768x3072</c:v>
                  </c:pt>
                  <c:pt idx="30">
                    <c:v>4096x1024</c:v>
                  </c:pt>
                  <c:pt idx="36">
                    <c:v>1024x4096</c:v>
                  </c:pt>
                  <c:pt idx="42">
                    <c:v>2048x2048</c:v>
                  </c:pt>
                  <c:pt idx="48">
                    <c:v>4096x4096</c:v>
                  </c:pt>
                  <c:pt idx="54">
                    <c:v>8192x2048</c:v>
                  </c:pt>
                  <c:pt idx="60">
                    <c:v>2048x8192</c:v>
                  </c:pt>
                </c:lvl>
              </c:multiLvlStrCache>
            </c:multiLvlStrRef>
          </c:cat>
          <c:val>
            <c:numRef>
              <c:f>'Chart Data'!$CG$2:$CG$67</c:f>
              <c:numCache>
                <c:formatCode>General</c:formatCode>
                <c:ptCount val="66"/>
                <c:pt idx="0">
                  <c:v>31.084</c:v>
                </c:pt>
                <c:pt idx="1">
                  <c:v>18.224</c:v>
                </c:pt>
                <c:pt idx="2">
                  <c:v>9.6630000000000003</c:v>
                </c:pt>
                <c:pt idx="3">
                  <c:v>5.0010000000000003</c:v>
                </c:pt>
                <c:pt idx="4">
                  <c:v>2.5289999999999999</c:v>
                </c:pt>
                <c:pt idx="5">
                  <c:v>9.5259999999999998</c:v>
                </c:pt>
                <c:pt idx="6">
                  <c:v>70.445999999999998</c:v>
                </c:pt>
                <c:pt idx="7">
                  <c:v>40.722999999999999</c:v>
                </c:pt>
                <c:pt idx="8">
                  <c:v>21.463000000000001</c:v>
                </c:pt>
                <c:pt idx="9">
                  <c:v>11.179</c:v>
                </c:pt>
                <c:pt idx="10">
                  <c:v>5.532</c:v>
                </c:pt>
                <c:pt idx="11">
                  <c:v>21.363</c:v>
                </c:pt>
                <c:pt idx="12">
                  <c:v>122.059</c:v>
                </c:pt>
                <c:pt idx="13">
                  <c:v>73.435000000000002</c:v>
                </c:pt>
                <c:pt idx="14">
                  <c:v>38.134999999999998</c:v>
                </c:pt>
                <c:pt idx="15">
                  <c:v>19.591999999999999</c:v>
                </c:pt>
                <c:pt idx="16">
                  <c:v>9.7330000000000005</c:v>
                </c:pt>
                <c:pt idx="17">
                  <c:v>37.26</c:v>
                </c:pt>
                <c:pt idx="18">
                  <c:v>278.15600000000001</c:v>
                </c:pt>
                <c:pt idx="19">
                  <c:v>164.99600000000001</c:v>
                </c:pt>
                <c:pt idx="20">
                  <c:v>85.558999999999997</c:v>
                </c:pt>
                <c:pt idx="21">
                  <c:v>44.085000000000001</c:v>
                </c:pt>
                <c:pt idx="22">
                  <c:v>22.207000000000001</c:v>
                </c:pt>
                <c:pt idx="23">
                  <c:v>84.578000000000003</c:v>
                </c:pt>
                <c:pt idx="24">
                  <c:v>280.33</c:v>
                </c:pt>
                <c:pt idx="25">
                  <c:v>164.35499999999999</c:v>
                </c:pt>
                <c:pt idx="26">
                  <c:v>84.638000000000005</c:v>
                </c:pt>
                <c:pt idx="27">
                  <c:v>43.31</c:v>
                </c:pt>
                <c:pt idx="28">
                  <c:v>21.4</c:v>
                </c:pt>
                <c:pt idx="29">
                  <c:v>84.406000000000006</c:v>
                </c:pt>
                <c:pt idx="30">
                  <c:v>499.017</c:v>
                </c:pt>
                <c:pt idx="31">
                  <c:v>290.07499999999999</c:v>
                </c:pt>
                <c:pt idx="32">
                  <c:v>151.357</c:v>
                </c:pt>
                <c:pt idx="33">
                  <c:v>78.236000000000004</c:v>
                </c:pt>
                <c:pt idx="34">
                  <c:v>39.137</c:v>
                </c:pt>
                <c:pt idx="35">
                  <c:v>150.989</c:v>
                </c:pt>
                <c:pt idx="36">
                  <c:v>496.666</c:v>
                </c:pt>
                <c:pt idx="37">
                  <c:v>291.83600000000001</c:v>
                </c:pt>
                <c:pt idx="38">
                  <c:v>150.87100000000001</c:v>
                </c:pt>
                <c:pt idx="39">
                  <c:v>77.686999999999998</c:v>
                </c:pt>
                <c:pt idx="40">
                  <c:v>38.280999999999999</c:v>
                </c:pt>
                <c:pt idx="41">
                  <c:v>149.72</c:v>
                </c:pt>
                <c:pt idx="42">
                  <c:v>494.95400000000001</c:v>
                </c:pt>
                <c:pt idx="43">
                  <c:v>294.24799999999999</c:v>
                </c:pt>
                <c:pt idx="44">
                  <c:v>151.10499999999999</c:v>
                </c:pt>
                <c:pt idx="45">
                  <c:v>77.161000000000001</c:v>
                </c:pt>
                <c:pt idx="46">
                  <c:v>38.658000000000001</c:v>
                </c:pt>
                <c:pt idx="47">
                  <c:v>150.488</c:v>
                </c:pt>
                <c:pt idx="48">
                  <c:v>1987.482</c:v>
                </c:pt>
                <c:pt idx="49">
                  <c:v>1154.6859999999999</c:v>
                </c:pt>
                <c:pt idx="50">
                  <c:v>605.24900000000002</c:v>
                </c:pt>
                <c:pt idx="51">
                  <c:v>310.05099999999999</c:v>
                </c:pt>
                <c:pt idx="52">
                  <c:v>153.48699999999999</c:v>
                </c:pt>
                <c:pt idx="53">
                  <c:v>598.67499999999995</c:v>
                </c:pt>
                <c:pt idx="54">
                  <c:v>1994.3240000000001</c:v>
                </c:pt>
                <c:pt idx="55">
                  <c:v>1169.2760000000001</c:v>
                </c:pt>
                <c:pt idx="56">
                  <c:v>605.12</c:v>
                </c:pt>
                <c:pt idx="57">
                  <c:v>312.19799999999998</c:v>
                </c:pt>
                <c:pt idx="58">
                  <c:v>154.48500000000001</c:v>
                </c:pt>
                <c:pt idx="59">
                  <c:v>608.85699999999997</c:v>
                </c:pt>
                <c:pt idx="60">
                  <c:v>1997.508</c:v>
                </c:pt>
                <c:pt idx="61">
                  <c:v>1160.8689999999999</c:v>
                </c:pt>
                <c:pt idx="62">
                  <c:v>601.66099999999994</c:v>
                </c:pt>
                <c:pt idx="63">
                  <c:v>310.45</c:v>
                </c:pt>
                <c:pt idx="64">
                  <c:v>151.81700000000001</c:v>
                </c:pt>
                <c:pt idx="65">
                  <c:v>598.48900000000003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B-4C53-9C99-24892CEAE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1462624"/>
        <c:axId val="1408970544"/>
      </c:barChart>
      <c:catAx>
        <c:axId val="1481462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408970544"/>
        <c:crosses val="autoZero"/>
        <c:auto val="1"/>
        <c:lblAlgn val="ctr"/>
        <c:lblOffset val="100"/>
        <c:noMultiLvlLbl val="0"/>
      </c:catAx>
      <c:valAx>
        <c:axId val="1408970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matrix (uJ)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48146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Same board, same 128 MACs: 2.07x at equal non-zero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5.4401547319674046E-2"/>
          <c:y val="0.1156677181913775"/>
          <c:w val="0.86387434554973819"/>
          <c:h val="0.599369085173501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Data'!$DZ$1</c:f>
              <c:strCache>
                <c:ptCount val="1"/>
                <c:pt idx="0">
                  <c:v>300 MHz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F4B183"/>
              </a:solidFill>
              <a:ln w="28575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98-47F9-9AD6-AAC1F3D1B7D3}"/>
              </c:ext>
            </c:extLst>
          </c:dPt>
          <c:dLbls>
            <c:dLbl>
              <c:idx val="12"/>
              <c:numFmt formatCode="0.0&quot;x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98-47F9-9AD6-AAC1F3D1B7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Data'!$DY$2:$DY$14</c:f>
              <c:strCache>
                <c:ptCount val="13"/>
                <c:pt idx="0">
                  <c:v>G1 googleplus</c:v>
                </c:pt>
                <c:pt idx="1">
                  <c:v>G2 crankseg_2</c:v>
                </c:pt>
                <c:pt idx="2">
                  <c:v>G3 Si41Ge41H72</c:v>
                </c:pt>
                <c:pt idx="3">
                  <c:v>G4 TSOPF_RS_b2383</c:v>
                </c:pt>
                <c:pt idx="4">
                  <c:v>G5 ML_Laplace</c:v>
                </c:pt>
                <c:pt idx="5">
                  <c:v>G6 mouse_gene</c:v>
                </c:pt>
                <c:pt idx="6">
                  <c:v>G7 soc_pokec</c:v>
                </c:pt>
                <c:pt idx="7">
                  <c:v>G8 coPapersCiteseer</c:v>
                </c:pt>
                <c:pt idx="8">
                  <c:v>G9 PFlow_742</c:v>
                </c:pt>
                <c:pt idx="9">
                  <c:v>G10 ogbl_ppa</c:v>
                </c:pt>
                <c:pt idx="10">
                  <c:v>G11 hollywood</c:v>
                </c:pt>
                <c:pt idx="11">
                  <c:v>G12 ogbn_products</c:v>
                </c:pt>
                <c:pt idx="12">
                  <c:v>GEOMEAN</c:v>
                </c:pt>
              </c:strCache>
            </c:strRef>
          </c:cat>
          <c:val>
            <c:numRef>
              <c:f>'Chart Data'!$DZ$2:$DZ$14</c:f>
              <c:numCache>
                <c:formatCode>General</c:formatCode>
                <c:ptCount val="13"/>
                <c:pt idx="0">
                  <c:v>4.93</c:v>
                </c:pt>
                <c:pt idx="1">
                  <c:v>2.351</c:v>
                </c:pt>
                <c:pt idx="2">
                  <c:v>1.8560000000000001</c:v>
                </c:pt>
                <c:pt idx="3">
                  <c:v>1.631</c:v>
                </c:pt>
                <c:pt idx="4">
                  <c:v>1.5649999999999999</c:v>
                </c:pt>
                <c:pt idx="5">
                  <c:v>1.7310000000000001</c:v>
                </c:pt>
                <c:pt idx="6">
                  <c:v>4.3760000000000003</c:v>
                </c:pt>
                <c:pt idx="7">
                  <c:v>2.145</c:v>
                </c:pt>
                <c:pt idx="8">
                  <c:v>1.6339999999999999</c:v>
                </c:pt>
                <c:pt idx="9">
                  <c:v>1.502</c:v>
                </c:pt>
                <c:pt idx="10">
                  <c:v>1.849</c:v>
                </c:pt>
                <c:pt idx="11">
                  <c:v>1.488</c:v>
                </c:pt>
                <c:pt idx="12">
                  <c:v>2.0649999999999999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8-47F9-9AD6-AAC1F3D1B7D3}"/>
            </c:ext>
          </c:extLst>
        </c:ser>
        <c:ser>
          <c:idx val="1"/>
          <c:order val="1"/>
          <c:tx>
            <c:strRef>
              <c:f>'Chart Data'!$EA$1</c:f>
              <c:strCache>
                <c:ptCount val="1"/>
                <c:pt idx="0">
                  <c:v>325 MHz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C55A11"/>
              </a:solidFill>
              <a:ln w="28575"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FA98-47F9-9AD6-AAC1F3D1B7D3}"/>
              </c:ext>
            </c:extLst>
          </c:dPt>
          <c:dLbls>
            <c:dLbl>
              <c:idx val="12"/>
              <c:numFmt formatCode="0.0&quot;x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Y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98-47F9-9AD6-AAC1F3D1B7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Data'!$DY$2:$DY$14</c:f>
              <c:strCache>
                <c:ptCount val="13"/>
                <c:pt idx="0">
                  <c:v>G1 googleplus</c:v>
                </c:pt>
                <c:pt idx="1">
                  <c:v>G2 crankseg_2</c:v>
                </c:pt>
                <c:pt idx="2">
                  <c:v>G3 Si41Ge41H72</c:v>
                </c:pt>
                <c:pt idx="3">
                  <c:v>G4 TSOPF_RS_b2383</c:v>
                </c:pt>
                <c:pt idx="4">
                  <c:v>G5 ML_Laplace</c:v>
                </c:pt>
                <c:pt idx="5">
                  <c:v>G6 mouse_gene</c:v>
                </c:pt>
                <c:pt idx="6">
                  <c:v>G7 soc_pokec</c:v>
                </c:pt>
                <c:pt idx="7">
                  <c:v>G8 coPapersCiteseer</c:v>
                </c:pt>
                <c:pt idx="8">
                  <c:v>G9 PFlow_742</c:v>
                </c:pt>
                <c:pt idx="9">
                  <c:v>G10 ogbl_ppa</c:v>
                </c:pt>
                <c:pt idx="10">
                  <c:v>G11 hollywood</c:v>
                </c:pt>
                <c:pt idx="11">
                  <c:v>G12 ogbn_products</c:v>
                </c:pt>
                <c:pt idx="12">
                  <c:v>GEOMEAN</c:v>
                </c:pt>
              </c:strCache>
            </c:strRef>
          </c:cat>
          <c:val>
            <c:numRef>
              <c:f>'Chart Data'!$EA$2:$EA$14</c:f>
              <c:numCache>
                <c:formatCode>General</c:formatCode>
                <c:ptCount val="13"/>
                <c:pt idx="0">
                  <c:v>5.3630000000000004</c:v>
                </c:pt>
                <c:pt idx="1">
                  <c:v>2.5569999999999999</c:v>
                </c:pt>
                <c:pt idx="2">
                  <c:v>2.0190000000000001</c:v>
                </c:pt>
                <c:pt idx="3">
                  <c:v>1.774</c:v>
                </c:pt>
                <c:pt idx="4">
                  <c:v>1.7030000000000001</c:v>
                </c:pt>
                <c:pt idx="5">
                  <c:v>1.8819999999999999</c:v>
                </c:pt>
                <c:pt idx="6">
                  <c:v>4.76</c:v>
                </c:pt>
                <c:pt idx="7">
                  <c:v>2.3330000000000002</c:v>
                </c:pt>
                <c:pt idx="8">
                  <c:v>1.7769999999999999</c:v>
                </c:pt>
                <c:pt idx="9">
                  <c:v>1.6339999999999999</c:v>
                </c:pt>
                <c:pt idx="10">
                  <c:v>2.0110000000000001</c:v>
                </c:pt>
                <c:pt idx="11">
                  <c:v>1.619</c:v>
                </c:pt>
                <c:pt idx="12">
                  <c:v>2.246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8-47F9-9AD6-AAC1F3D1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14080"/>
        <c:axId val="172711728"/>
      </c:barChart>
      <c:lineChart>
        <c:grouping val="standard"/>
        <c:varyColors val="0"/>
        <c:ser>
          <c:idx val="2"/>
          <c:order val="2"/>
          <c:tx>
            <c:strRef>
              <c:f>'Chart Data'!$EB$1</c:f>
              <c:strCache>
                <c:ptCount val="1"/>
                <c:pt idx="0">
                  <c:v>parity</c:v>
                </c:pt>
              </c:strCache>
            </c:strRef>
          </c:tx>
          <c:spPr>
            <a:ln w="2222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'Chart Data'!$DY$2:$DY$14</c:f>
              <c:strCache>
                <c:ptCount val="13"/>
                <c:pt idx="0">
                  <c:v>G1 googleplus</c:v>
                </c:pt>
                <c:pt idx="1">
                  <c:v>G2 crankseg_2</c:v>
                </c:pt>
                <c:pt idx="2">
                  <c:v>G3 Si41Ge41H72</c:v>
                </c:pt>
                <c:pt idx="3">
                  <c:v>G4 TSOPF_RS_b2383</c:v>
                </c:pt>
                <c:pt idx="4">
                  <c:v>G5 ML_Laplace</c:v>
                </c:pt>
                <c:pt idx="5">
                  <c:v>G6 mouse_gene</c:v>
                </c:pt>
                <c:pt idx="6">
                  <c:v>G7 soc_pokec</c:v>
                </c:pt>
                <c:pt idx="7">
                  <c:v>G8 coPapersCiteseer</c:v>
                </c:pt>
                <c:pt idx="8">
                  <c:v>G9 PFlow_742</c:v>
                </c:pt>
                <c:pt idx="9">
                  <c:v>G10 ogbl_ppa</c:v>
                </c:pt>
                <c:pt idx="10">
                  <c:v>G11 hollywood</c:v>
                </c:pt>
                <c:pt idx="11">
                  <c:v>G12 ogbn_products</c:v>
                </c:pt>
                <c:pt idx="12">
                  <c:v>GEOMEAN</c:v>
                </c:pt>
              </c:strCache>
            </c:strRef>
          </c:cat>
          <c:val>
            <c:numRef>
              <c:f>'Chart Data'!$EB$2:$EB$14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98-47F9-9AD6-AAC1F3D1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14080"/>
        <c:axId val="172711728"/>
      </c:lineChart>
      <c:catAx>
        <c:axId val="6961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Serpens benchmark matrix (matched non-zero count)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2711728"/>
        <c:crosses val="autoZero"/>
        <c:auto val="1"/>
        <c:lblAlgn val="ctr"/>
        <c:lblOffset val="100"/>
        <c:noMultiLvlLbl val="0"/>
      </c:catAx>
      <c:valAx>
        <c:axId val="172711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Speed-up vs Serpens-A16 (compute-only)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&quot;x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6961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The gap is occupancy, not clock: 0.56 vs 0.97 of the same 128-MAC ceiling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3.2494881202676892E-2"/>
          <c:y val="0.11554621848739496"/>
          <c:w val="0.86387434554973819"/>
          <c:h val="0.59873949579831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Data'!$EE$1</c:f>
              <c:strCache>
                <c:ptCount val="1"/>
                <c:pt idx="0">
                  <c:v>Serpens-A16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cat>
            <c:strRef>
              <c:f>'Chart Data'!$ED$2:$ED$13</c:f>
              <c:strCache>
                <c:ptCount val="12"/>
                <c:pt idx="0">
                  <c:v>G1 googleplus</c:v>
                </c:pt>
                <c:pt idx="1">
                  <c:v>G2 crankseg_2</c:v>
                </c:pt>
                <c:pt idx="2">
                  <c:v>G3 Si41Ge41H72</c:v>
                </c:pt>
                <c:pt idx="3">
                  <c:v>G4 TSOPF_RS_b2383</c:v>
                </c:pt>
                <c:pt idx="4">
                  <c:v>G5 ML_Laplace</c:v>
                </c:pt>
                <c:pt idx="5">
                  <c:v>G6 mouse_gene</c:v>
                </c:pt>
                <c:pt idx="6">
                  <c:v>G7 soc_pokec</c:v>
                </c:pt>
                <c:pt idx="7">
                  <c:v>G8 coPapersCiteseer</c:v>
                </c:pt>
                <c:pt idx="8">
                  <c:v>G9 PFlow_742</c:v>
                </c:pt>
                <c:pt idx="9">
                  <c:v>G10 ogbl_ppa</c:v>
                </c:pt>
                <c:pt idx="10">
                  <c:v>G11 hollywood</c:v>
                </c:pt>
                <c:pt idx="11">
                  <c:v>G12 ogbn_products</c:v>
                </c:pt>
              </c:strCache>
            </c:strRef>
          </c:cat>
          <c:val>
            <c:numRef>
              <c:f>'Chart Data'!$EE$2:$EE$13</c:f>
              <c:numCache>
                <c:formatCode>General</c:formatCode>
                <c:ptCount val="12"/>
                <c:pt idx="0">
                  <c:v>0.25569999999999998</c:v>
                </c:pt>
                <c:pt idx="1">
                  <c:v>0.53300000000000003</c:v>
                </c:pt>
                <c:pt idx="2">
                  <c:v>0.61639999999999995</c:v>
                </c:pt>
                <c:pt idx="3">
                  <c:v>0.77580000000000005</c:v>
                </c:pt>
                <c:pt idx="4">
                  <c:v>0.70409999999999995</c:v>
                </c:pt>
                <c:pt idx="5">
                  <c:v>0.73909999999999998</c:v>
                </c:pt>
                <c:pt idx="6">
                  <c:v>0.23760000000000001</c:v>
                </c:pt>
                <c:pt idx="7">
                  <c:v>0.53690000000000004</c:v>
                </c:pt>
                <c:pt idx="8">
                  <c:v>0.63560000000000005</c:v>
                </c:pt>
                <c:pt idx="9">
                  <c:v>0.73029999999999995</c:v>
                </c:pt>
                <c:pt idx="10">
                  <c:v>0.63680000000000003</c:v>
                </c:pt>
                <c:pt idx="11">
                  <c:v>0.68540000000000001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E-4CA1-96E8-CF1E886121D8}"/>
            </c:ext>
          </c:extLst>
        </c:ser>
        <c:ser>
          <c:idx val="1"/>
          <c:order val="1"/>
          <c:tx>
            <c:strRef>
              <c:f>'Chart Data'!$EF$1</c:f>
              <c:strCache>
                <c:ptCount val="1"/>
                <c:pt idx="0">
                  <c:v>This engine, 300 MHz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'Chart Data'!$ED$2:$ED$13</c:f>
              <c:strCache>
                <c:ptCount val="12"/>
                <c:pt idx="0">
                  <c:v>G1 googleplus</c:v>
                </c:pt>
                <c:pt idx="1">
                  <c:v>G2 crankseg_2</c:v>
                </c:pt>
                <c:pt idx="2">
                  <c:v>G3 Si41Ge41H72</c:v>
                </c:pt>
                <c:pt idx="3">
                  <c:v>G4 TSOPF_RS_b2383</c:v>
                </c:pt>
                <c:pt idx="4">
                  <c:v>G5 ML_Laplace</c:v>
                </c:pt>
                <c:pt idx="5">
                  <c:v>G6 mouse_gene</c:v>
                </c:pt>
                <c:pt idx="6">
                  <c:v>G7 soc_pokec</c:v>
                </c:pt>
                <c:pt idx="7">
                  <c:v>G8 coPapersCiteseer</c:v>
                </c:pt>
                <c:pt idx="8">
                  <c:v>G9 PFlow_742</c:v>
                </c:pt>
                <c:pt idx="9">
                  <c:v>G10 ogbl_ppa</c:v>
                </c:pt>
                <c:pt idx="10">
                  <c:v>G11 hollywood</c:v>
                </c:pt>
                <c:pt idx="11">
                  <c:v>G12 ogbn_products</c:v>
                </c:pt>
              </c:strCache>
            </c:strRef>
          </c:cat>
          <c:val>
            <c:numRef>
              <c:f>'Chart Data'!$EF$2:$EF$13</c:f>
              <c:numCache>
                <c:formatCode>General</c:formatCode>
                <c:ptCount val="12"/>
                <c:pt idx="0">
                  <c:v>0.96870000000000001</c:v>
                </c:pt>
                <c:pt idx="1">
                  <c:v>0.96870000000000001</c:v>
                </c:pt>
                <c:pt idx="2">
                  <c:v>0.96870000000000001</c:v>
                </c:pt>
                <c:pt idx="3">
                  <c:v>0.96870000000000001</c:v>
                </c:pt>
                <c:pt idx="4">
                  <c:v>0.96870000000000001</c:v>
                </c:pt>
                <c:pt idx="5">
                  <c:v>0.96870000000000001</c:v>
                </c:pt>
                <c:pt idx="6">
                  <c:v>0.96870000000000001</c:v>
                </c:pt>
                <c:pt idx="7">
                  <c:v>0.96870000000000001</c:v>
                </c:pt>
                <c:pt idx="8">
                  <c:v>0.96870000000000001</c:v>
                </c:pt>
                <c:pt idx="9">
                  <c:v>0.96870000000000001</c:v>
                </c:pt>
                <c:pt idx="10">
                  <c:v>0.96870000000000001</c:v>
                </c:pt>
                <c:pt idx="11">
                  <c:v>0.96870000000000001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4E-4CA1-96E8-CF1E88612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600160"/>
        <c:axId val="172801008"/>
      </c:barChart>
      <c:lineChart>
        <c:grouping val="standard"/>
        <c:varyColors val="0"/>
        <c:ser>
          <c:idx val="2"/>
          <c:order val="2"/>
          <c:tx>
            <c:strRef>
              <c:f>'Chart Data'!$EG$1</c:f>
              <c:strCache>
                <c:ptCount val="1"/>
                <c:pt idx="0">
                  <c:v>roofline</c:v>
                </c:pt>
              </c:strCache>
            </c:strRef>
          </c:tx>
          <c:spPr>
            <a:ln w="2222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'Chart Data'!$ED$2:$ED$13</c:f>
              <c:strCache>
                <c:ptCount val="12"/>
                <c:pt idx="0">
                  <c:v>G1 googleplus</c:v>
                </c:pt>
                <c:pt idx="1">
                  <c:v>G2 crankseg_2</c:v>
                </c:pt>
                <c:pt idx="2">
                  <c:v>G3 Si41Ge41H72</c:v>
                </c:pt>
                <c:pt idx="3">
                  <c:v>G4 TSOPF_RS_b2383</c:v>
                </c:pt>
                <c:pt idx="4">
                  <c:v>G5 ML_Laplace</c:v>
                </c:pt>
                <c:pt idx="5">
                  <c:v>G6 mouse_gene</c:v>
                </c:pt>
                <c:pt idx="6">
                  <c:v>G7 soc_pokec</c:v>
                </c:pt>
                <c:pt idx="7">
                  <c:v>G8 coPapersCiteseer</c:v>
                </c:pt>
                <c:pt idx="8">
                  <c:v>G9 PFlow_742</c:v>
                </c:pt>
                <c:pt idx="9">
                  <c:v>G10 ogbl_ppa</c:v>
                </c:pt>
                <c:pt idx="10">
                  <c:v>G11 hollywood</c:v>
                </c:pt>
                <c:pt idx="11">
                  <c:v>G12 ogbn_products</c:v>
                </c:pt>
              </c:strCache>
            </c:strRef>
          </c:cat>
          <c:val>
            <c:numRef>
              <c:f>'Chart Data'!$EG$2:$EG$13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4E-4CA1-96E8-CF1E88612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00160"/>
        <c:axId val="172801008"/>
      </c:lineChart>
      <c:catAx>
        <c:axId val="69600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Serpens benchmark matrix (matched non-zero count)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72801008"/>
        <c:crosses val="autoZero"/>
        <c:auto val="1"/>
        <c:lblAlgn val="ctr"/>
        <c:lblOffset val="100"/>
        <c:noMultiLvlLbl val="0"/>
      </c:catAx>
      <c:valAx>
        <c:axId val="17280100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Fraction of own 128-MAC ceiling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6960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Board power under load, by family and sparsity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2:4</c:v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Measured'!$Q$2:$Q$7</c:f>
              <c:numCache>
                <c:formatCode>General</c:formatCode>
                <c:ptCount val="6"/>
                <c:pt idx="0">
                  <c:v>27.728999999999999</c:v>
                </c:pt>
                <c:pt idx="1">
                  <c:v>29.882000000000001</c:v>
                </c:pt>
                <c:pt idx="2">
                  <c:v>32.229999999999997</c:v>
                </c:pt>
                <c:pt idx="3">
                  <c:v>36.408999999999999</c:v>
                </c:pt>
                <c:pt idx="4">
                  <c:v>39.652999999999999</c:v>
                </c:pt>
                <c:pt idx="5">
                  <c:v>41.750999999999998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4-4D24-BB97-453550969E37}"/>
            </c:ext>
          </c:extLst>
        </c:ser>
        <c:ser>
          <c:idx val="1"/>
          <c:order val="1"/>
          <c:tx>
            <c:v>2:8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Measured'!$R$2:$R$7</c:f>
              <c:numCache>
                <c:formatCode>General</c:formatCode>
                <c:ptCount val="6"/>
                <c:pt idx="0">
                  <c:v>27.457999999999998</c:v>
                </c:pt>
                <c:pt idx="1">
                  <c:v>29.975000000000001</c:v>
                </c:pt>
                <c:pt idx="2">
                  <c:v>31.925999999999998</c:v>
                </c:pt>
                <c:pt idx="3">
                  <c:v>35.396000000000001</c:v>
                </c:pt>
                <c:pt idx="4">
                  <c:v>39.94</c:v>
                </c:pt>
                <c:pt idx="5">
                  <c:v>41.744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A4-4D24-BB97-453550969E37}"/>
            </c:ext>
          </c:extLst>
        </c:ser>
        <c:ser>
          <c:idx val="2"/>
          <c:order val="2"/>
          <c:tx>
            <c:v>2:16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Measured'!$S$2:$S$7</c:f>
              <c:numCache>
                <c:formatCode>General</c:formatCode>
                <c:ptCount val="6"/>
                <c:pt idx="0">
                  <c:v>27.602</c:v>
                </c:pt>
                <c:pt idx="1">
                  <c:v>30.001999999999999</c:v>
                </c:pt>
                <c:pt idx="2">
                  <c:v>32.340000000000003</c:v>
                </c:pt>
                <c:pt idx="3">
                  <c:v>36.606000000000002</c:v>
                </c:pt>
                <c:pt idx="4">
                  <c:v>39.963999999999999</c:v>
                </c:pt>
                <c:pt idx="5">
                  <c:v>41.762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A4-4D24-BB97-453550969E37}"/>
            </c:ext>
          </c:extLst>
        </c:ser>
        <c:ser>
          <c:idx val="3"/>
          <c:order val="3"/>
          <c:tx>
            <c:v>2:32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Measured'!$T$2:$T$7</c:f>
              <c:numCache>
                <c:formatCode>General</c:formatCode>
                <c:ptCount val="6"/>
                <c:pt idx="0">
                  <c:v>27.472000000000001</c:v>
                </c:pt>
                <c:pt idx="1">
                  <c:v>29.832999999999998</c:v>
                </c:pt>
                <c:pt idx="2">
                  <c:v>32.448999999999998</c:v>
                </c:pt>
                <c:pt idx="3">
                  <c:v>35.826999999999998</c:v>
                </c:pt>
                <c:pt idx="4">
                  <c:v>38.963000000000001</c:v>
                </c:pt>
                <c:pt idx="5">
                  <c:v>41.651000000000003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A4-4D24-BB97-453550969E37}"/>
            </c:ext>
          </c:extLst>
        </c:ser>
        <c:ser>
          <c:idx val="4"/>
          <c:order val="4"/>
          <c:tx>
            <c:v>MIXED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Measured'!$U$2:$U$7</c:f>
              <c:numCache>
                <c:formatCode>General</c:formatCode>
                <c:ptCount val="6"/>
                <c:pt idx="0">
                  <c:v>27.332000000000001</c:v>
                </c:pt>
                <c:pt idx="1">
                  <c:v>29.79</c:v>
                </c:pt>
                <c:pt idx="2">
                  <c:v>32.234999999999999</c:v>
                </c:pt>
                <c:pt idx="3">
                  <c:v>36.286000000000001</c:v>
                </c:pt>
                <c:pt idx="4">
                  <c:v>40.43</c:v>
                </c:pt>
                <c:pt idx="5">
                  <c:v>42.271000000000001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A4-4D24-BB97-45355096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43616"/>
        <c:axId val="2043805904"/>
      </c:barChart>
      <c:catAx>
        <c:axId val="2804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043805904"/>
        <c:crosses val="autoZero"/>
        <c:auto val="1"/>
        <c:lblAlgn val="ctr"/>
        <c:lblOffset val="100"/>
        <c:noMultiLvlLbl val="0"/>
      </c:catAx>
      <c:valAx>
        <c:axId val="2043805904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Board power under load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804361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by family and sparsity (steady-state GFLOPS, effective)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2:4</c:v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Measured'!$V$2:$V$7</c:f>
              <c:numCache>
                <c:formatCode>General</c:formatCode>
                <c:ptCount val="6"/>
                <c:pt idx="0">
                  <c:v>50.6</c:v>
                </c:pt>
                <c:pt idx="1">
                  <c:v>95.08</c:v>
                </c:pt>
                <c:pt idx="2">
                  <c:v>131.22999999999999</c:v>
                </c:pt>
                <c:pt idx="3">
                  <c:v>164.69</c:v>
                </c:pt>
                <c:pt idx="4">
                  <c:v>223.58</c:v>
                </c:pt>
                <c:pt idx="5">
                  <c:v>254.8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5-40DC-A88E-996D35D75561}"/>
            </c:ext>
          </c:extLst>
        </c:ser>
        <c:ser>
          <c:idx val="1"/>
          <c:order val="1"/>
          <c:tx>
            <c:v>2:8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Measured'!$W$2:$W$7</c:f>
              <c:numCache>
                <c:formatCode>General</c:formatCode>
                <c:ptCount val="6"/>
                <c:pt idx="0">
                  <c:v>101.1</c:v>
                </c:pt>
                <c:pt idx="1">
                  <c:v>190.57</c:v>
                </c:pt>
                <c:pt idx="2">
                  <c:v>261.11</c:v>
                </c:pt>
                <c:pt idx="3">
                  <c:v>329.63</c:v>
                </c:pt>
                <c:pt idx="4">
                  <c:v>443.29</c:v>
                </c:pt>
                <c:pt idx="5">
                  <c:v>508.75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E5-40DC-A88E-996D35D75561}"/>
            </c:ext>
          </c:extLst>
        </c:ser>
        <c:ser>
          <c:idx val="2"/>
          <c:order val="2"/>
          <c:tx>
            <c:v>2:16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Measured'!$X$2:$X$7</c:f>
              <c:numCache>
                <c:formatCode>General</c:formatCode>
                <c:ptCount val="6"/>
                <c:pt idx="0">
                  <c:v>200.82</c:v>
                </c:pt>
                <c:pt idx="1">
                  <c:v>376.63</c:v>
                </c:pt>
                <c:pt idx="2">
                  <c:v>519.6</c:v>
                </c:pt>
                <c:pt idx="3">
                  <c:v>654.52</c:v>
                </c:pt>
                <c:pt idx="4">
                  <c:v>885.87</c:v>
                </c:pt>
                <c:pt idx="5">
                  <c:v>1010.99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E5-40DC-A88E-996D35D75561}"/>
            </c:ext>
          </c:extLst>
        </c:ser>
        <c:ser>
          <c:idx val="3"/>
          <c:order val="3"/>
          <c:tx>
            <c:v>2:32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Measured'!$Y$2:$Y$7</c:f>
              <c:numCache>
                <c:formatCode>General</c:formatCode>
                <c:ptCount val="6"/>
                <c:pt idx="0">
                  <c:v>396.41</c:v>
                </c:pt>
                <c:pt idx="1">
                  <c:v>746.93</c:v>
                </c:pt>
                <c:pt idx="2">
                  <c:v>1027.03</c:v>
                </c:pt>
                <c:pt idx="3">
                  <c:v>1291.33</c:v>
                </c:pt>
                <c:pt idx="4">
                  <c:v>1744.68</c:v>
                </c:pt>
                <c:pt idx="5">
                  <c:v>1996.49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E5-40DC-A88E-996D35D75561}"/>
            </c:ext>
          </c:extLst>
        </c:ser>
        <c:ser>
          <c:idx val="4"/>
          <c:order val="4"/>
          <c:tx>
            <c:v>MIXED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Measured'!$Z$2:$Z$7</c:f>
              <c:numCache>
                <c:formatCode>General</c:formatCode>
                <c:ptCount val="6"/>
                <c:pt idx="0">
                  <c:v>107.64</c:v>
                </c:pt>
                <c:pt idx="1">
                  <c:v>202.35</c:v>
                </c:pt>
                <c:pt idx="2">
                  <c:v>270.27</c:v>
                </c:pt>
                <c:pt idx="3">
                  <c:v>350.93</c:v>
                </c:pt>
                <c:pt idx="4">
                  <c:v>445.58</c:v>
                </c:pt>
                <c:pt idx="5">
                  <c:v>515.35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E5-40DC-A88E-996D35D75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72848"/>
        <c:axId val="2043733904"/>
      </c:barChart>
      <c:catAx>
        <c:axId val="2807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043733904"/>
        <c:crosses val="autoZero"/>
        <c:auto val="1"/>
        <c:lblAlgn val="ctr"/>
        <c:lblOffset val="100"/>
        <c:noMultiLvlLbl val="0"/>
      </c:catAx>
      <c:valAx>
        <c:axId val="2043733904"/>
        <c:scaling>
          <c:logBase val="2"/>
          <c:orientation val="minMax"/>
          <c:max val="2048"/>
          <c:min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(effective,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807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Clock frequency: out-of-context estimate vs in-system closed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OOC Fmax (bare engine)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Measured'!$J$2:$J$7</c:f>
              <c:numCache>
                <c:formatCode>General</c:formatCode>
                <c:ptCount val="6"/>
                <c:pt idx="0">
                  <c:v>619.6</c:v>
                </c:pt>
                <c:pt idx="1">
                  <c:v>559.9</c:v>
                </c:pt>
                <c:pt idx="2">
                  <c:v>501.8</c:v>
                </c:pt>
                <c:pt idx="3">
                  <c:v>448.6</c:v>
                </c:pt>
                <c:pt idx="4">
                  <c:v>407.3</c:v>
                </c:pt>
                <c:pt idx="5">
                  <c:v>355.4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5-4C5D-80CA-F41702BB242C}"/>
            </c:ext>
          </c:extLst>
        </c:ser>
        <c:ser>
          <c:idx val="1"/>
          <c:order val="1"/>
          <c:tx>
            <c:v>In-system, timing closed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Measured'!$K$2:$K$7</c:f>
              <c:numCache>
                <c:formatCode>General</c:formatCode>
                <c:ptCount val="6"/>
                <c:pt idx="0">
                  <c:v>400</c:v>
                </c:pt>
                <c:pt idx="1">
                  <c:v>375</c:v>
                </c:pt>
                <c:pt idx="2">
                  <c:v>350</c:v>
                </c:pt>
                <c:pt idx="3">
                  <c:v>325</c:v>
                </c:pt>
                <c:pt idx="4">
                  <c:v>300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5-4C5D-80CA-F41702BB2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57536"/>
        <c:axId val="2043779024"/>
      </c:barChart>
      <c:catAx>
        <c:axId val="28057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043779024"/>
        <c:crosses val="autoZero"/>
        <c:auto val="1"/>
        <c:lblAlgn val="ctr"/>
        <c:lblOffset val="100"/>
        <c:noMultiLvlLbl val="0"/>
      </c:catAx>
      <c:valAx>
        <c:axId val="2043779024"/>
        <c:scaling>
          <c:orientation val="minMax"/>
          <c:max val="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(MHz)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8057536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row by family and sparsity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2:4</c:v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Measured'!$AP$2:$AP$7</c:f>
              <c:numCache>
                <c:formatCode>General</c:formatCode>
                <c:ptCount val="6"/>
                <c:pt idx="0">
                  <c:v>1163.03</c:v>
                </c:pt>
                <c:pt idx="1">
                  <c:v>678.66</c:v>
                </c:pt>
                <c:pt idx="2">
                  <c:v>525.76</c:v>
                </c:pt>
                <c:pt idx="3">
                  <c:v>483.85</c:v>
                </c:pt>
                <c:pt idx="4">
                  <c:v>383.2</c:v>
                </c:pt>
                <c:pt idx="5">
                  <c:v>369.57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F-480B-BF66-38B6EDC847AB}"/>
            </c:ext>
          </c:extLst>
        </c:ser>
        <c:ser>
          <c:idx val="1"/>
          <c:order val="1"/>
          <c:tx>
            <c:v>2:8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Measured'!$AQ$2:$AQ$7</c:f>
              <c:numCache>
                <c:formatCode>General</c:formatCode>
                <c:ptCount val="6"/>
                <c:pt idx="0">
                  <c:v>577.26</c:v>
                </c:pt>
                <c:pt idx="1">
                  <c:v>339.36</c:v>
                </c:pt>
                <c:pt idx="2">
                  <c:v>261.60000000000002</c:v>
                </c:pt>
                <c:pt idx="3">
                  <c:v>237.31</c:v>
                </c:pt>
                <c:pt idx="4">
                  <c:v>193.96</c:v>
                </c:pt>
                <c:pt idx="5">
                  <c:v>184.95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8F-480B-BF66-38B6EDC847AB}"/>
            </c:ext>
          </c:extLst>
        </c:ser>
        <c:ser>
          <c:idx val="2"/>
          <c:order val="2"/>
          <c:tx>
            <c:v>2:16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Measured'!$AR$2:$AR$7</c:f>
              <c:numCache>
                <c:formatCode>General</c:formatCode>
                <c:ptCount val="6"/>
                <c:pt idx="0">
                  <c:v>291.77999999999997</c:v>
                </c:pt>
                <c:pt idx="1">
                  <c:v>172.37</c:v>
                </c:pt>
                <c:pt idx="2">
                  <c:v>133.22999999999999</c:v>
                </c:pt>
                <c:pt idx="3">
                  <c:v>123.42</c:v>
                </c:pt>
                <c:pt idx="4">
                  <c:v>98.25</c:v>
                </c:pt>
                <c:pt idx="5">
                  <c:v>93.24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8F-480B-BF66-38B6EDC847AB}"/>
            </c:ext>
          </c:extLst>
        </c:ser>
        <c:ser>
          <c:idx val="3"/>
          <c:order val="3"/>
          <c:tx>
            <c:v>2:32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Measured'!$AS$2:$AS$7</c:f>
              <c:numCache>
                <c:formatCode>General</c:formatCode>
                <c:ptCount val="6"/>
                <c:pt idx="0">
                  <c:v>147.59</c:v>
                </c:pt>
                <c:pt idx="1">
                  <c:v>86.76</c:v>
                </c:pt>
                <c:pt idx="2">
                  <c:v>67.59</c:v>
                </c:pt>
                <c:pt idx="3">
                  <c:v>61.05</c:v>
                </c:pt>
                <c:pt idx="4">
                  <c:v>48.72</c:v>
                </c:pt>
                <c:pt idx="5">
                  <c:v>47.16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8F-480B-BF66-38B6EDC847AB}"/>
            </c:ext>
          </c:extLst>
        </c:ser>
        <c:ser>
          <c:idx val="4"/>
          <c:order val="4"/>
          <c:tx>
            <c:v>MIXED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Measured'!$AT$2:$AT$7</c:f>
              <c:numCache>
                <c:formatCode>General</c:formatCode>
                <c:ptCount val="6"/>
                <c:pt idx="0">
                  <c:v>541.53</c:v>
                </c:pt>
                <c:pt idx="1">
                  <c:v>319.82</c:v>
                </c:pt>
                <c:pt idx="2">
                  <c:v>248.58</c:v>
                </c:pt>
                <c:pt idx="3">
                  <c:v>227.77</c:v>
                </c:pt>
                <c:pt idx="4">
                  <c:v>187.85</c:v>
                </c:pt>
                <c:pt idx="5">
                  <c:v>177.52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8F-480B-BF66-38B6EDC84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064032"/>
        <c:axId val="2043683984"/>
      </c:barChart>
      <c:catAx>
        <c:axId val="28064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043683984"/>
        <c:crosses val="autoZero"/>
        <c:auto val="1"/>
        <c:lblAlgn val="ctr"/>
        <c:lblOffset val="100"/>
        <c:noMultiLvlLbl val="0"/>
      </c:catAx>
      <c:valAx>
        <c:axId val="2043683984"/>
        <c:scaling>
          <c:logBase val="2"/>
          <c:orientation val="minMax"/>
          <c:max val="2048"/>
          <c:min val="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row (nJ,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806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Efficiency by family and sparsity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2:4</c:v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Measured'!$AF$2:$AF$7</c:f>
              <c:numCache>
                <c:formatCode>General</c:formatCode>
                <c:ptCount val="6"/>
                <c:pt idx="0">
                  <c:v>98.83</c:v>
                </c:pt>
                <c:pt idx="1">
                  <c:v>99.04</c:v>
                </c:pt>
                <c:pt idx="2">
                  <c:v>98.76</c:v>
                </c:pt>
                <c:pt idx="3">
                  <c:v>98.97</c:v>
                </c:pt>
                <c:pt idx="4">
                  <c:v>99.4</c:v>
                </c:pt>
                <c:pt idx="5">
                  <c:v>99.53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C-40EB-BF26-48D2FE266FA3}"/>
            </c:ext>
          </c:extLst>
        </c:ser>
        <c:ser>
          <c:idx val="1"/>
          <c:order val="1"/>
          <c:tx>
            <c:v>2:8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Measured'!$AG$2:$AG$7</c:f>
              <c:numCache>
                <c:formatCode>General</c:formatCode>
                <c:ptCount val="6"/>
                <c:pt idx="0">
                  <c:v>98.73</c:v>
                </c:pt>
                <c:pt idx="1">
                  <c:v>99.25</c:v>
                </c:pt>
                <c:pt idx="2">
                  <c:v>98.25</c:v>
                </c:pt>
                <c:pt idx="3">
                  <c:v>99.05</c:v>
                </c:pt>
                <c:pt idx="4">
                  <c:v>98.54</c:v>
                </c:pt>
                <c:pt idx="5">
                  <c:v>99.37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C-40EB-BF26-48D2FE266FA3}"/>
            </c:ext>
          </c:extLst>
        </c:ser>
        <c:ser>
          <c:idx val="2"/>
          <c:order val="2"/>
          <c:tx>
            <c:v>2:16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Measured'!$AH$2:$AH$7</c:f>
              <c:numCache>
                <c:formatCode>General</c:formatCode>
                <c:ptCount val="6"/>
                <c:pt idx="0">
                  <c:v>98.06</c:v>
                </c:pt>
                <c:pt idx="1">
                  <c:v>98.08</c:v>
                </c:pt>
                <c:pt idx="2">
                  <c:v>97.76</c:v>
                </c:pt>
                <c:pt idx="3">
                  <c:v>98.33</c:v>
                </c:pt>
                <c:pt idx="4">
                  <c:v>98.46</c:v>
                </c:pt>
                <c:pt idx="5">
                  <c:v>98.73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6C-40EB-BF26-48D2FE266FA3}"/>
            </c:ext>
          </c:extLst>
        </c:ser>
        <c:ser>
          <c:idx val="3"/>
          <c:order val="3"/>
          <c:tx>
            <c:v>2:32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Measured'!$AI$2:$AI$7</c:f>
              <c:numCache>
                <c:formatCode>General</c:formatCode>
                <c:ptCount val="6"/>
                <c:pt idx="0">
                  <c:v>96.78</c:v>
                </c:pt>
                <c:pt idx="1">
                  <c:v>97.26</c:v>
                </c:pt>
                <c:pt idx="2">
                  <c:v>96.62</c:v>
                </c:pt>
                <c:pt idx="3">
                  <c:v>97.01</c:v>
                </c:pt>
                <c:pt idx="4">
                  <c:v>96.96</c:v>
                </c:pt>
                <c:pt idx="5">
                  <c:v>97.48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6C-40EB-BF26-48D2FE266FA3}"/>
            </c:ext>
          </c:extLst>
        </c:ser>
        <c:ser>
          <c:idx val="4"/>
          <c:order val="4"/>
          <c:tx>
            <c:v>MIXED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Measured'!$AJ$2:$AJ$7</c:f>
              <c:numCache>
                <c:formatCode>General</c:formatCode>
                <c:ptCount val="6"/>
                <c:pt idx="0">
                  <c:v>98.55</c:v>
                </c:pt>
                <c:pt idx="1">
                  <c:v>98.8</c:v>
                </c:pt>
                <c:pt idx="2">
                  <c:v>98.51</c:v>
                </c:pt>
                <c:pt idx="3">
                  <c:v>98.86</c:v>
                </c:pt>
                <c:pt idx="4">
                  <c:v>99</c:v>
                </c:pt>
                <c:pt idx="5">
                  <c:v>99.43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6C-40EB-BF26-48D2FE266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956640"/>
        <c:axId val="1931419920"/>
      </c:barChart>
      <c:catAx>
        <c:axId val="198395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31419920"/>
        <c:crosses val="autoZero"/>
        <c:auto val="1"/>
        <c:lblAlgn val="ctr"/>
        <c:lblOffset val="100"/>
        <c:noMultiLvlLbl val="0"/>
      </c:catAx>
      <c:valAx>
        <c:axId val="1931419920"/>
        <c:scaling>
          <c:orientation val="minMax"/>
          <c:max val="10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Efficiency, % of theoretical work rate (axis starts at 95)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839566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Measured throughput per HBM channel by family and sparsity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2:4</c:v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Measured'!$BT$2:$BT$7</c:f>
              <c:numCache>
                <c:formatCode>General</c:formatCode>
                <c:ptCount val="6"/>
                <c:pt idx="0">
                  <c:v>2.1080000000000001</c:v>
                </c:pt>
                <c:pt idx="1">
                  <c:v>2.3769999999999998</c:v>
                </c:pt>
                <c:pt idx="2">
                  <c:v>2.5529999999999999</c:v>
                </c:pt>
                <c:pt idx="3">
                  <c:v>2.4220000000000002</c:v>
                </c:pt>
                <c:pt idx="4">
                  <c:v>2.3860000000000001</c:v>
                </c:pt>
                <c:pt idx="5">
                  <c:v>1.9910000000000001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4-4CA6-BBB6-7241C193D41E}"/>
            </c:ext>
          </c:extLst>
        </c:ser>
        <c:ser>
          <c:idx val="1"/>
          <c:order val="1"/>
          <c:tx>
            <c:v>2:8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Measured'!$BU$2:$BU$7</c:f>
              <c:numCache>
                <c:formatCode>General</c:formatCode>
                <c:ptCount val="6"/>
                <c:pt idx="0">
                  <c:v>2.1059999999999999</c:v>
                </c:pt>
                <c:pt idx="1">
                  <c:v>2.3820000000000001</c:v>
                </c:pt>
                <c:pt idx="2">
                  <c:v>2.5390000000000001</c:v>
                </c:pt>
                <c:pt idx="3">
                  <c:v>2.4239999999999999</c:v>
                </c:pt>
                <c:pt idx="4">
                  <c:v>2.3650000000000002</c:v>
                </c:pt>
                <c:pt idx="5">
                  <c:v>1.9870000000000001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4-4CA6-BBB6-7241C193D41E}"/>
            </c:ext>
          </c:extLst>
        </c:ser>
        <c:ser>
          <c:idx val="2"/>
          <c:order val="2"/>
          <c:tx>
            <c:v>2:16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Measured'!$BV$2:$BV$7</c:f>
              <c:numCache>
                <c:formatCode>General</c:formatCode>
                <c:ptCount val="6"/>
                <c:pt idx="0">
                  <c:v>2.0920000000000001</c:v>
                </c:pt>
                <c:pt idx="1">
                  <c:v>2.3540000000000001</c:v>
                </c:pt>
                <c:pt idx="2">
                  <c:v>2.5270000000000001</c:v>
                </c:pt>
                <c:pt idx="3">
                  <c:v>2.4060000000000001</c:v>
                </c:pt>
                <c:pt idx="4">
                  <c:v>2.363</c:v>
                </c:pt>
                <c:pt idx="5">
                  <c:v>1.9750000000000001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04-4CA6-BBB6-7241C193D41E}"/>
            </c:ext>
          </c:extLst>
        </c:ser>
        <c:ser>
          <c:idx val="3"/>
          <c:order val="3"/>
          <c:tx>
            <c:v>2:32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Measured'!$BW$2:$BW$7</c:f>
              <c:numCache>
                <c:formatCode>General</c:formatCode>
                <c:ptCount val="6"/>
                <c:pt idx="0">
                  <c:v>2.0649999999999999</c:v>
                </c:pt>
                <c:pt idx="1">
                  <c:v>2.3340000000000001</c:v>
                </c:pt>
                <c:pt idx="2">
                  <c:v>2.4969999999999999</c:v>
                </c:pt>
                <c:pt idx="3">
                  <c:v>2.3740000000000001</c:v>
                </c:pt>
                <c:pt idx="4">
                  <c:v>2.327</c:v>
                </c:pt>
                <c:pt idx="5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04-4CA6-BBB6-7241C193D41E}"/>
            </c:ext>
          </c:extLst>
        </c:ser>
        <c:ser>
          <c:idx val="4"/>
          <c:order val="4"/>
          <c:tx>
            <c:v>MIXED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Measured'!$BX$2:$BX$7</c:f>
              <c:numCache>
                <c:formatCode>General</c:formatCode>
                <c:ptCount val="6"/>
                <c:pt idx="0">
                  <c:v>2.1019999999999999</c:v>
                </c:pt>
                <c:pt idx="1">
                  <c:v>2.371</c:v>
                </c:pt>
                <c:pt idx="2">
                  <c:v>2.5459999999999998</c:v>
                </c:pt>
                <c:pt idx="3">
                  <c:v>2.419</c:v>
                </c:pt>
                <c:pt idx="4">
                  <c:v>2.3759999999999999</c:v>
                </c:pt>
                <c:pt idx="5">
                  <c:v>1.9890000000000001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04-4CA6-BBB6-7241C193D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010928"/>
        <c:axId val="1931345040"/>
      </c:barChart>
      <c:catAx>
        <c:axId val="1984010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31345040"/>
        <c:crosses val="autoZero"/>
        <c:auto val="1"/>
        <c:lblAlgn val="ctr"/>
        <c:lblOffset val="100"/>
        <c:noMultiLvlLbl val="0"/>
      </c:catAx>
      <c:valAx>
        <c:axId val="1931345040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GMAC/s per HBM pseudo-channel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8401092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Effective GFLOPS per watt by family and sparsity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2:4</c:v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Measured'!$AU$2:$AU$7</c:f>
              <c:numCache>
                <c:formatCode>General</c:formatCode>
                <c:ptCount val="6"/>
                <c:pt idx="0">
                  <c:v>1.82</c:v>
                </c:pt>
                <c:pt idx="1">
                  <c:v>3.18</c:v>
                </c:pt>
                <c:pt idx="2">
                  <c:v>4.07</c:v>
                </c:pt>
                <c:pt idx="3">
                  <c:v>4.5199999999999996</c:v>
                </c:pt>
                <c:pt idx="4">
                  <c:v>5.64</c:v>
                </c:pt>
                <c:pt idx="5">
                  <c:v>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5-40B4-9090-C38CB4962997}"/>
            </c:ext>
          </c:extLst>
        </c:ser>
        <c:ser>
          <c:idx val="1"/>
          <c:order val="1"/>
          <c:tx>
            <c:v>2:8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Measured'!$AV$2:$AV$7</c:f>
              <c:numCache>
                <c:formatCode>General</c:formatCode>
                <c:ptCount val="6"/>
                <c:pt idx="0">
                  <c:v>3.68</c:v>
                </c:pt>
                <c:pt idx="1">
                  <c:v>6.36</c:v>
                </c:pt>
                <c:pt idx="2">
                  <c:v>8.18</c:v>
                </c:pt>
                <c:pt idx="3">
                  <c:v>9.31</c:v>
                </c:pt>
                <c:pt idx="4">
                  <c:v>11.1</c:v>
                </c:pt>
                <c:pt idx="5">
                  <c:v>12.19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5-40B4-9090-C38CB4962997}"/>
            </c:ext>
          </c:extLst>
        </c:ser>
        <c:ser>
          <c:idx val="2"/>
          <c:order val="2"/>
          <c:tx>
            <c:v>2:16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Measured'!$AW$2:$AW$7</c:f>
              <c:numCache>
                <c:formatCode>General</c:formatCode>
                <c:ptCount val="6"/>
                <c:pt idx="0">
                  <c:v>7.28</c:v>
                </c:pt>
                <c:pt idx="1">
                  <c:v>12.55</c:v>
                </c:pt>
                <c:pt idx="2">
                  <c:v>16.07</c:v>
                </c:pt>
                <c:pt idx="3">
                  <c:v>17.88</c:v>
                </c:pt>
                <c:pt idx="4">
                  <c:v>22.17</c:v>
                </c:pt>
                <c:pt idx="5">
                  <c:v>24.21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F5-40B4-9090-C38CB4962997}"/>
            </c:ext>
          </c:extLst>
        </c:ser>
        <c:ser>
          <c:idx val="3"/>
          <c:order val="3"/>
          <c:tx>
            <c:v>2:32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Measured'!$AX$2:$AX$7</c:f>
              <c:numCache>
                <c:formatCode>General</c:formatCode>
                <c:ptCount val="6"/>
                <c:pt idx="0">
                  <c:v>14.43</c:v>
                </c:pt>
                <c:pt idx="1">
                  <c:v>25.04</c:v>
                </c:pt>
                <c:pt idx="2">
                  <c:v>31.65</c:v>
                </c:pt>
                <c:pt idx="3">
                  <c:v>36.04</c:v>
                </c:pt>
                <c:pt idx="4">
                  <c:v>44.78</c:v>
                </c:pt>
                <c:pt idx="5">
                  <c:v>47.93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F5-40B4-9090-C38CB4962997}"/>
            </c:ext>
          </c:extLst>
        </c:ser>
        <c:ser>
          <c:idx val="4"/>
          <c:order val="4"/>
          <c:tx>
            <c:v>MIXED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Measured'!$AY$2:$AY$7</c:f>
              <c:numCache>
                <c:formatCode>General</c:formatCode>
                <c:ptCount val="6"/>
                <c:pt idx="0">
                  <c:v>3.94</c:v>
                </c:pt>
                <c:pt idx="1">
                  <c:v>6.79</c:v>
                </c:pt>
                <c:pt idx="2">
                  <c:v>8.3800000000000008</c:v>
                </c:pt>
                <c:pt idx="3">
                  <c:v>9.67</c:v>
                </c:pt>
                <c:pt idx="4">
                  <c:v>11.02</c:v>
                </c:pt>
                <c:pt idx="5">
                  <c:v>12.19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F5-40B4-9090-C38CB496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987728"/>
        <c:axId val="1931400240"/>
      </c:barChart>
      <c:catAx>
        <c:axId val="198398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31400240"/>
        <c:crosses val="autoZero"/>
        <c:auto val="1"/>
        <c:lblAlgn val="ctr"/>
        <c:lblOffset val="100"/>
        <c:noMultiLvlLbl val="0"/>
      </c:catAx>
      <c:valAx>
        <c:axId val="1931400240"/>
        <c:scaling>
          <c:logBase val="2"/>
          <c:orientation val="minMax"/>
          <c:max val="64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per watt, effective (log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8398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Actual GFLOPS per watt by family and sparsity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2:4</c:v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Measured'!$BY$2:$BY$7</c:f>
              <c:numCache>
                <c:formatCode>General</c:formatCode>
                <c:ptCount val="6"/>
                <c:pt idx="0">
                  <c:v>0.91200000000000003</c:v>
                </c:pt>
                <c:pt idx="1">
                  <c:v>1.591</c:v>
                </c:pt>
                <c:pt idx="2">
                  <c:v>2.0590000000000002</c:v>
                </c:pt>
                <c:pt idx="3">
                  <c:v>2.262</c:v>
                </c:pt>
                <c:pt idx="4">
                  <c:v>2.8879999999999999</c:v>
                </c:pt>
                <c:pt idx="5">
                  <c:v>3.0510000000000002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1-4543-8EAC-E446FD158BE0}"/>
            </c:ext>
          </c:extLst>
        </c:ser>
        <c:ser>
          <c:idx val="1"/>
          <c:order val="1"/>
          <c:tx>
            <c:v>2:8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Measured'!$BZ$2:$BZ$7</c:f>
              <c:numCache>
                <c:formatCode>General</c:formatCode>
                <c:ptCount val="6"/>
                <c:pt idx="0">
                  <c:v>0.92100000000000004</c:v>
                </c:pt>
                <c:pt idx="1">
                  <c:v>1.589</c:v>
                </c:pt>
                <c:pt idx="2">
                  <c:v>2.0680000000000001</c:v>
                </c:pt>
                <c:pt idx="3">
                  <c:v>2.3279999999999998</c:v>
                </c:pt>
                <c:pt idx="4">
                  <c:v>2.8420000000000001</c:v>
                </c:pt>
                <c:pt idx="5">
                  <c:v>3.0470000000000002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81-4543-8EAC-E446FD158BE0}"/>
            </c:ext>
          </c:extLst>
        </c:ser>
        <c:ser>
          <c:idx val="2"/>
          <c:order val="2"/>
          <c:tx>
            <c:v>2:16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Measured'!$CA$2:$CA$7</c:f>
              <c:numCache>
                <c:formatCode>General</c:formatCode>
                <c:ptCount val="6"/>
                <c:pt idx="0">
                  <c:v>0.90900000000000003</c:v>
                </c:pt>
                <c:pt idx="1">
                  <c:v>1.569</c:v>
                </c:pt>
                <c:pt idx="2">
                  <c:v>2.0310000000000001</c:v>
                </c:pt>
                <c:pt idx="3">
                  <c:v>2.2349999999999999</c:v>
                </c:pt>
                <c:pt idx="4">
                  <c:v>2.8380000000000001</c:v>
                </c:pt>
                <c:pt idx="5">
                  <c:v>3.0259999999999998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81-4543-8EAC-E446FD158BE0}"/>
            </c:ext>
          </c:extLst>
        </c:ser>
        <c:ser>
          <c:idx val="3"/>
          <c:order val="3"/>
          <c:tx>
            <c:v>2:32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Measured'!$CB$2:$CB$7</c:f>
              <c:numCache>
                <c:formatCode>General</c:formatCode>
                <c:ptCount val="6"/>
                <c:pt idx="0">
                  <c:v>0.90200000000000002</c:v>
                </c:pt>
                <c:pt idx="1">
                  <c:v>1.5649999999999999</c:v>
                </c:pt>
                <c:pt idx="2">
                  <c:v>2.0009999999999999</c:v>
                </c:pt>
                <c:pt idx="3">
                  <c:v>2.2530000000000001</c:v>
                </c:pt>
                <c:pt idx="4">
                  <c:v>2.867</c:v>
                </c:pt>
                <c:pt idx="5">
                  <c:v>2.996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81-4543-8EAC-E446FD158BE0}"/>
            </c:ext>
          </c:extLst>
        </c:ser>
        <c:ser>
          <c:idx val="4"/>
          <c:order val="4"/>
          <c:tx>
            <c:v>MIXED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Measured'!$CC$2:$CC$7</c:f>
              <c:numCache>
                <c:formatCode>General</c:formatCode>
                <c:ptCount val="6"/>
                <c:pt idx="0">
                  <c:v>0.92300000000000004</c:v>
                </c:pt>
                <c:pt idx="1">
                  <c:v>1.5920000000000001</c:v>
                </c:pt>
                <c:pt idx="2">
                  <c:v>2.0539999999999998</c:v>
                </c:pt>
                <c:pt idx="3">
                  <c:v>2.2669999999999999</c:v>
                </c:pt>
                <c:pt idx="4">
                  <c:v>2.8210000000000002</c:v>
                </c:pt>
                <c:pt idx="5">
                  <c:v>3.0110000000000001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81-4543-8EAC-E446FD158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089600"/>
        <c:axId val="1931439120"/>
      </c:barChart>
      <c:catAx>
        <c:axId val="198908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31439120"/>
        <c:crosses val="autoZero"/>
        <c:auto val="1"/>
        <c:lblAlgn val="ctr"/>
        <c:lblOffset val="100"/>
        <c:noMultiLvlLbl val="0"/>
      </c:catAx>
      <c:valAx>
        <c:axId val="1931439120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per watt, actual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8908960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Measured HBM input bandwidth by family and sparsity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2:4</c:v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Measured'!$CD$2:$CD$7</c:f>
              <c:numCache>
                <c:formatCode>General</c:formatCode>
                <c:ptCount val="6"/>
                <c:pt idx="0">
                  <c:v>37.950000000000003</c:v>
                </c:pt>
                <c:pt idx="1">
                  <c:v>71.31</c:v>
                </c:pt>
                <c:pt idx="2">
                  <c:v>88.49</c:v>
                </c:pt>
                <c:pt idx="3">
                  <c:v>113.23</c:v>
                </c:pt>
                <c:pt idx="4">
                  <c:v>152.68</c:v>
                </c:pt>
                <c:pt idx="5">
                  <c:v>175.18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7-4BFC-BEF2-D97D073BAEAA}"/>
            </c:ext>
          </c:extLst>
        </c:ser>
        <c:ser>
          <c:idx val="1"/>
          <c:order val="1"/>
          <c:tx>
            <c:v>2:8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Measured'!$CE$2:$CE$7</c:f>
              <c:numCache>
                <c:formatCode>General</c:formatCode>
                <c:ptCount val="6"/>
                <c:pt idx="0">
                  <c:v>37.909999999999997</c:v>
                </c:pt>
                <c:pt idx="1">
                  <c:v>71.459999999999994</c:v>
                </c:pt>
                <c:pt idx="2">
                  <c:v>88.04</c:v>
                </c:pt>
                <c:pt idx="3">
                  <c:v>113.31</c:v>
                </c:pt>
                <c:pt idx="4">
                  <c:v>151.35</c:v>
                </c:pt>
                <c:pt idx="5">
                  <c:v>174.88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B7-4BFC-BEF2-D97D073BAEAA}"/>
            </c:ext>
          </c:extLst>
        </c:ser>
        <c:ser>
          <c:idx val="2"/>
          <c:order val="2"/>
          <c:tx>
            <c:v>2:16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Measured'!$CF$2:$CF$7</c:f>
              <c:numCache>
                <c:formatCode>General</c:formatCode>
                <c:ptCount val="6"/>
                <c:pt idx="0">
                  <c:v>37.65</c:v>
                </c:pt>
                <c:pt idx="1">
                  <c:v>70.62</c:v>
                </c:pt>
                <c:pt idx="2">
                  <c:v>87.59</c:v>
                </c:pt>
                <c:pt idx="3">
                  <c:v>112.5</c:v>
                </c:pt>
                <c:pt idx="4">
                  <c:v>151.22999999999999</c:v>
                </c:pt>
                <c:pt idx="5">
                  <c:v>173.76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B7-4BFC-BEF2-D97D073BAEAA}"/>
            </c:ext>
          </c:extLst>
        </c:ser>
        <c:ser>
          <c:idx val="3"/>
          <c:order val="3"/>
          <c:tx>
            <c:v>2:32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Measured'!$CG$2:$CG$7</c:f>
              <c:numCache>
                <c:formatCode>General</c:formatCode>
                <c:ptCount val="6"/>
                <c:pt idx="0">
                  <c:v>37.159999999999997</c:v>
                </c:pt>
                <c:pt idx="1">
                  <c:v>70.02</c:v>
                </c:pt>
                <c:pt idx="2">
                  <c:v>86.57</c:v>
                </c:pt>
                <c:pt idx="3">
                  <c:v>110.97</c:v>
                </c:pt>
                <c:pt idx="4">
                  <c:v>148.91999999999999</c:v>
                </c:pt>
                <c:pt idx="5">
                  <c:v>171.57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B7-4BFC-BEF2-D97D073BAEAA}"/>
            </c:ext>
          </c:extLst>
        </c:ser>
        <c:ser>
          <c:idx val="4"/>
          <c:order val="4"/>
          <c:tx>
            <c:v>MIXED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Measured'!$CH$2:$CH$7</c:f>
              <c:numCache>
                <c:formatCode>General</c:formatCode>
                <c:ptCount val="6"/>
                <c:pt idx="0">
                  <c:v>37.840000000000003</c:v>
                </c:pt>
                <c:pt idx="1">
                  <c:v>71.14</c:v>
                </c:pt>
                <c:pt idx="2">
                  <c:v>88.26</c:v>
                </c:pt>
                <c:pt idx="3">
                  <c:v>113.09</c:v>
                </c:pt>
                <c:pt idx="4">
                  <c:v>152.06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B7-4BFC-BEF2-D97D073BA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014432"/>
        <c:axId val="1931374800"/>
      </c:barChart>
      <c:catAx>
        <c:axId val="1989014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31374800"/>
        <c:crosses val="autoZero"/>
        <c:auto val="1"/>
        <c:lblAlgn val="ctr"/>
        <c:lblOffset val="100"/>
        <c:noMultiLvlLbl val="0"/>
      </c:catAx>
      <c:valAx>
        <c:axId val="1931374800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HBM input bandwidth (GB/s)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989014432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DSP and HBM channel utilization by family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DSPs (9,024 on the U280)</c:v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'Family Utilization'!$A$2:$A$7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Utilization'!$G$2:$G$7</c:f>
              <c:numCache>
                <c:formatCode>General</c:formatCode>
                <c:ptCount val="6"/>
                <c:pt idx="0">
                  <c:v>1.46</c:v>
                </c:pt>
                <c:pt idx="1">
                  <c:v>2.88</c:v>
                </c:pt>
                <c:pt idx="2">
                  <c:v>4.3</c:v>
                </c:pt>
                <c:pt idx="3">
                  <c:v>5.72</c:v>
                </c:pt>
                <c:pt idx="4">
                  <c:v>8.5500000000000007</c:v>
                </c:pt>
                <c:pt idx="5">
                  <c:v>11.39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B-4064-8C24-B75AB800A6CA}"/>
            </c:ext>
          </c:extLst>
        </c:ser>
        <c:ser>
          <c:idx val="1"/>
          <c:order val="1"/>
          <c:tx>
            <c:v>HBM channels (32 on the U280)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'Family Utilization'!$A$2:$A$7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Utilization'!$H$2:$H$7</c:f>
              <c:numCache>
                <c:formatCode>General</c:formatCode>
                <c:ptCount val="6"/>
                <c:pt idx="0">
                  <c:v>18.75</c:v>
                </c:pt>
                <c:pt idx="1">
                  <c:v>31.25</c:v>
                </c:pt>
                <c:pt idx="2">
                  <c:v>40.625</c:v>
                </c:pt>
                <c:pt idx="3">
                  <c:v>53.125</c:v>
                </c:pt>
                <c:pt idx="4">
                  <c:v>75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B-4064-8C24-B75AB800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479120"/>
        <c:axId val="1351468400"/>
      </c:barChart>
      <c:catAx>
        <c:axId val="73047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351468400"/>
        <c:crosses val="autoZero"/>
        <c:auto val="1"/>
        <c:lblAlgn val="ctr"/>
        <c:lblOffset val="100"/>
        <c:noMultiLvlLbl val="0"/>
      </c:catAx>
      <c:valAx>
        <c:axId val="13514684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the U280 used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73047912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FPGA resource utilization by family (whole build)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LUTs</c:v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cat>
            <c:strRef>
              <c:f>'Family Utilization'!$A$2:$A$7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Utilization'!$D$2:$D$7</c:f>
              <c:numCache>
                <c:formatCode>General</c:formatCode>
                <c:ptCount val="6"/>
                <c:pt idx="0">
                  <c:v>10.44</c:v>
                </c:pt>
                <c:pt idx="1">
                  <c:v>12.66</c:v>
                </c:pt>
                <c:pt idx="2">
                  <c:v>14.9</c:v>
                </c:pt>
                <c:pt idx="3">
                  <c:v>16.829999999999998</c:v>
                </c:pt>
                <c:pt idx="4">
                  <c:v>20.62</c:v>
                </c:pt>
                <c:pt idx="5">
                  <c:v>25.08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E-45BB-B853-3B035901254C}"/>
            </c:ext>
          </c:extLst>
        </c:ser>
        <c:ser>
          <c:idx val="1"/>
          <c:order val="1"/>
          <c:tx>
            <c:v>Flip-flops</c:v>
          </c:tx>
          <c:spPr>
            <a:solidFill>
              <a:srgbClr val="8FAADC"/>
            </a:solidFill>
            <a:ln>
              <a:noFill/>
            </a:ln>
            <a:effectLst/>
          </c:spPr>
          <c:invertIfNegative val="0"/>
          <c:cat>
            <c:strRef>
              <c:f>'Family Utilization'!$A$2:$A$7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Utilization'!$E$2:$E$7</c:f>
              <c:numCache>
                <c:formatCode>General</c:formatCode>
                <c:ptCount val="6"/>
                <c:pt idx="0">
                  <c:v>7.73</c:v>
                </c:pt>
                <c:pt idx="1">
                  <c:v>9.3699999999999992</c:v>
                </c:pt>
                <c:pt idx="2">
                  <c:v>11</c:v>
                </c:pt>
                <c:pt idx="3">
                  <c:v>12.61</c:v>
                </c:pt>
                <c:pt idx="4">
                  <c:v>15.65</c:v>
                </c:pt>
                <c:pt idx="5">
                  <c:v>19.559999999999999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E-45BB-B853-3B035901254C}"/>
            </c:ext>
          </c:extLst>
        </c:ser>
        <c:ser>
          <c:idx val="2"/>
          <c:order val="2"/>
          <c:tx>
            <c:v>BRAM</c:v>
          </c:tx>
          <c:spPr>
            <a:solidFill>
              <a:srgbClr val="C55A11"/>
            </a:solidFill>
            <a:ln>
              <a:noFill/>
            </a:ln>
            <a:effectLst/>
          </c:spPr>
          <c:invertIfNegative val="0"/>
          <c:cat>
            <c:strRef>
              <c:f>'Family Utilization'!$A$2:$A$7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Utilization'!$F$2:$F$7</c:f>
              <c:numCache>
                <c:formatCode>General</c:formatCode>
                <c:ptCount val="6"/>
                <c:pt idx="0">
                  <c:v>15.85</c:v>
                </c:pt>
                <c:pt idx="1">
                  <c:v>19.100000000000001</c:v>
                </c:pt>
                <c:pt idx="2">
                  <c:v>22.57</c:v>
                </c:pt>
                <c:pt idx="3">
                  <c:v>26.02</c:v>
                </c:pt>
                <c:pt idx="4">
                  <c:v>32.840000000000003</c:v>
                </c:pt>
                <c:pt idx="5">
                  <c:v>39.83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E-45BB-B853-3B035901254C}"/>
            </c:ext>
          </c:extLst>
        </c:ser>
        <c:ser>
          <c:idx val="3"/>
          <c:order val="3"/>
          <c:tx>
            <c:v>DSPs</c:v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'Family Utilization'!$A$2:$A$7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Utilization'!$G$2:$G$7</c:f>
              <c:numCache>
                <c:formatCode>General</c:formatCode>
                <c:ptCount val="6"/>
                <c:pt idx="0">
                  <c:v>1.46</c:v>
                </c:pt>
                <c:pt idx="1">
                  <c:v>2.88</c:v>
                </c:pt>
                <c:pt idx="2">
                  <c:v>4.3</c:v>
                </c:pt>
                <c:pt idx="3">
                  <c:v>5.72</c:v>
                </c:pt>
                <c:pt idx="4">
                  <c:v>8.5500000000000007</c:v>
                </c:pt>
                <c:pt idx="5">
                  <c:v>11.39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8E-45BB-B853-3B0359012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909232"/>
        <c:axId val="1351588880"/>
      </c:barChart>
      <c:catAx>
        <c:axId val="142790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351588880"/>
        <c:crosses val="autoZero"/>
        <c:auto val="1"/>
        <c:lblAlgn val="ctr"/>
        <c:lblOffset val="100"/>
        <c:noMultiLvlLbl val="0"/>
      </c:catAx>
      <c:valAx>
        <c:axId val="1351588880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the U280 used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4279092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Throughput by family and sparsity (steady-state GFLOPS, actual)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2:4</c:v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Measured'!$AA$2:$AA$7</c:f>
              <c:numCache>
                <c:formatCode>General</c:formatCode>
                <c:ptCount val="6"/>
                <c:pt idx="0">
                  <c:v>25.3</c:v>
                </c:pt>
                <c:pt idx="1">
                  <c:v>47.54</c:v>
                </c:pt>
                <c:pt idx="2">
                  <c:v>66.37</c:v>
                </c:pt>
                <c:pt idx="3">
                  <c:v>82.35</c:v>
                </c:pt>
                <c:pt idx="4">
                  <c:v>114.51</c:v>
                </c:pt>
                <c:pt idx="5">
                  <c:v>127.4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B-4FE7-AF70-393C633DBAEC}"/>
            </c:ext>
          </c:extLst>
        </c:ser>
        <c:ser>
          <c:idx val="1"/>
          <c:order val="1"/>
          <c:tx>
            <c:v>2:8</c:v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Measured'!$AB$2:$AB$7</c:f>
              <c:numCache>
                <c:formatCode>General</c:formatCode>
                <c:ptCount val="6"/>
                <c:pt idx="0">
                  <c:v>25.28</c:v>
                </c:pt>
                <c:pt idx="1">
                  <c:v>47.64</c:v>
                </c:pt>
                <c:pt idx="2">
                  <c:v>66.03</c:v>
                </c:pt>
                <c:pt idx="3">
                  <c:v>82.41</c:v>
                </c:pt>
                <c:pt idx="4">
                  <c:v>113.52</c:v>
                </c:pt>
                <c:pt idx="5">
                  <c:v>127.19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2B-4FE7-AF70-393C633DBAEC}"/>
            </c:ext>
          </c:extLst>
        </c:ser>
        <c:ser>
          <c:idx val="2"/>
          <c:order val="2"/>
          <c:tx>
            <c:v>2:16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Measured'!$AC$2:$AC$7</c:f>
              <c:numCache>
                <c:formatCode>General</c:formatCode>
                <c:ptCount val="6"/>
                <c:pt idx="0">
                  <c:v>25.1</c:v>
                </c:pt>
                <c:pt idx="1">
                  <c:v>47.08</c:v>
                </c:pt>
                <c:pt idx="2">
                  <c:v>65.69</c:v>
                </c:pt>
                <c:pt idx="3">
                  <c:v>81.81</c:v>
                </c:pt>
                <c:pt idx="4">
                  <c:v>113.43</c:v>
                </c:pt>
                <c:pt idx="5">
                  <c:v>126.37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B-4FE7-AF70-393C633DBAEC}"/>
            </c:ext>
          </c:extLst>
        </c:ser>
        <c:ser>
          <c:idx val="3"/>
          <c:order val="3"/>
          <c:tx>
            <c:v>2:32</c:v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Measured'!$AD$2:$AD$7</c:f>
              <c:numCache>
                <c:formatCode>General</c:formatCode>
                <c:ptCount val="6"/>
                <c:pt idx="0">
                  <c:v>24.78</c:v>
                </c:pt>
                <c:pt idx="1">
                  <c:v>46.68</c:v>
                </c:pt>
                <c:pt idx="2">
                  <c:v>64.930000000000007</c:v>
                </c:pt>
                <c:pt idx="3">
                  <c:v>80.709999999999994</c:v>
                </c:pt>
                <c:pt idx="4">
                  <c:v>111.69</c:v>
                </c:pt>
                <c:pt idx="5">
                  <c:v>124.78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2B-4FE7-AF70-393C633DBAEC}"/>
            </c:ext>
          </c:extLst>
        </c:ser>
        <c:ser>
          <c:idx val="4"/>
          <c:order val="4"/>
          <c:tx>
            <c:v>MIXED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'Family Measured'!$A$2:$A$7</c:f>
              <c:strCache>
                <c:ptCount val="6"/>
                <c:pt idx="0">
                  <c:v>4x4 (T=16)</c:v>
                </c:pt>
                <c:pt idx="1">
                  <c:v>8x4 (T=32)</c:v>
                </c:pt>
                <c:pt idx="2">
                  <c:v>16x3 (T=48)</c:v>
                </c:pt>
                <c:pt idx="3">
                  <c:v>8x8 (T=64)</c:v>
                </c:pt>
                <c:pt idx="4">
                  <c:v>4x24 (T=96)</c:v>
                </c:pt>
                <c:pt idx="5">
                  <c:v>4x32 (T=128)</c:v>
                </c:pt>
              </c:strCache>
            </c:strRef>
          </c:cat>
          <c:val>
            <c:numRef>
              <c:f>'Family Measured'!$AE$2:$AE$7</c:f>
              <c:numCache>
                <c:formatCode>General</c:formatCode>
                <c:ptCount val="6"/>
                <c:pt idx="0">
                  <c:v>25.23</c:v>
                </c:pt>
                <c:pt idx="1">
                  <c:v>47.43</c:v>
                </c:pt>
                <c:pt idx="2">
                  <c:v>66.2</c:v>
                </c:pt>
                <c:pt idx="3">
                  <c:v>82.25</c:v>
                </c:pt>
                <c:pt idx="4">
                  <c:v>114.05</c:v>
                </c:pt>
                <c:pt idx="5">
                  <c:v>127.27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2B-4FE7-AF70-393C633DB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18287"/>
        <c:axId val="114040719"/>
      </c:barChart>
      <c:catAx>
        <c:axId val="9481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Design family (cores x blocks, T = total C blocks)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14040719"/>
        <c:crosses val="autoZero"/>
        <c:auto val="1"/>
        <c:lblAlgn val="ctr"/>
        <c:lblOffset val="100"/>
        <c:noMultiLvlLbl val="0"/>
      </c:catAx>
      <c:valAx>
        <c:axId val="114040719"/>
        <c:scaling>
          <c:logBase val="2"/>
          <c:orientation val="minMax"/>
          <c:max val="256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(actual,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9481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Latency per matrix across workloads by family, MIXED sparsity (each family at its own clock)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4x4 (T=16), 400 MHz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'Family Mixed Latency'!$A$2:$A$12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'Family Mixed Latency'!$B$2:$B$12</c:f>
              <c:numCache>
                <c:formatCode>General</c:formatCode>
                <c:ptCount val="11"/>
                <c:pt idx="0">
                  <c:v>4.9105999999999996</c:v>
                </c:pt>
                <c:pt idx="1">
                  <c:v>11.0585</c:v>
                </c:pt>
                <c:pt idx="2">
                  <c:v>19.488299999999999</c:v>
                </c:pt>
                <c:pt idx="3">
                  <c:v>44.1648</c:v>
                </c:pt>
                <c:pt idx="4">
                  <c:v>43.5779</c:v>
                </c:pt>
                <c:pt idx="5">
                  <c:v>78.117500000000007</c:v>
                </c:pt>
                <c:pt idx="6">
                  <c:v>77.310500000000005</c:v>
                </c:pt>
                <c:pt idx="7">
                  <c:v>77.762699999999995</c:v>
                </c:pt>
                <c:pt idx="8">
                  <c:v>310.60899999999998</c:v>
                </c:pt>
                <c:pt idx="9">
                  <c:v>309.00819999999999</c:v>
                </c:pt>
                <c:pt idx="10">
                  <c:v>309.44959999999998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0-4AC7-AD62-0C71B0043D8F}"/>
            </c:ext>
          </c:extLst>
        </c:ser>
        <c:ser>
          <c:idx val="1"/>
          <c:order val="1"/>
          <c:tx>
            <c:v>8x4 (T=32), 375 MHz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'Family Mixed Latency'!$A$2:$A$12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'Family Mixed Latency'!$C$2:$C$12</c:f>
              <c:numCache>
                <c:formatCode>General</c:formatCode>
                <c:ptCount val="11"/>
                <c:pt idx="0">
                  <c:v>2.6391</c:v>
                </c:pt>
                <c:pt idx="1">
                  <c:v>5.8827999999999996</c:v>
                </c:pt>
                <c:pt idx="2">
                  <c:v>10.433299999999999</c:v>
                </c:pt>
                <c:pt idx="3">
                  <c:v>23.4419</c:v>
                </c:pt>
                <c:pt idx="4">
                  <c:v>23.357900000000001</c:v>
                </c:pt>
                <c:pt idx="5">
                  <c:v>42.035499999999999</c:v>
                </c:pt>
                <c:pt idx="6">
                  <c:v>41.353900000000003</c:v>
                </c:pt>
                <c:pt idx="7">
                  <c:v>41.650799999999997</c:v>
                </c:pt>
                <c:pt idx="8">
                  <c:v>167.61920000000001</c:v>
                </c:pt>
                <c:pt idx="9">
                  <c:v>166.7927</c:v>
                </c:pt>
                <c:pt idx="10">
                  <c:v>165.69370000000001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0-4AC7-AD62-0C71B0043D8F}"/>
            </c:ext>
          </c:extLst>
        </c:ser>
        <c:ser>
          <c:idx val="2"/>
          <c:order val="2"/>
          <c:tx>
            <c:v>16x3 (T=48), 350 MHz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'Family Mixed Latency'!$A$2:$A$12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'Family Mixed Latency'!$D$2:$D$12</c:f>
              <c:numCache>
                <c:formatCode>General</c:formatCode>
                <c:ptCount val="11"/>
                <c:pt idx="0">
                  <c:v>2.105</c:v>
                </c:pt>
                <c:pt idx="1">
                  <c:v>4.1963999999999997</c:v>
                </c:pt>
                <c:pt idx="2">
                  <c:v>8.3293999999999997</c:v>
                </c:pt>
                <c:pt idx="3">
                  <c:v>16.583200000000001</c:v>
                </c:pt>
                <c:pt idx="4">
                  <c:v>16.564</c:v>
                </c:pt>
                <c:pt idx="5">
                  <c:v>30.308599999999998</c:v>
                </c:pt>
                <c:pt idx="6">
                  <c:v>33.2667</c:v>
                </c:pt>
                <c:pt idx="7">
                  <c:v>30.501899999999999</c:v>
                </c:pt>
                <c:pt idx="8">
                  <c:v>120.8005</c:v>
                </c:pt>
                <c:pt idx="9">
                  <c:v>117.00109999999999</c:v>
                </c:pt>
                <c:pt idx="10">
                  <c:v>121.2366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30-4AC7-AD62-0C71B0043D8F}"/>
            </c:ext>
          </c:extLst>
        </c:ser>
        <c:ser>
          <c:idx val="3"/>
          <c:order val="3"/>
          <c:tx>
            <c:v>8x8 (T=64), 325 MHz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'Family Mixed Latency'!$A$2:$A$12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'Family Mixed Latency'!$E$2:$E$12</c:f>
              <c:numCache>
                <c:formatCode>General</c:formatCode>
                <c:ptCount val="11"/>
                <c:pt idx="0">
                  <c:v>1.5054000000000001</c:v>
                </c:pt>
                <c:pt idx="1">
                  <c:v>3.3788</c:v>
                </c:pt>
                <c:pt idx="2">
                  <c:v>5.9720000000000004</c:v>
                </c:pt>
                <c:pt idx="3">
                  <c:v>13.552300000000001</c:v>
                </c:pt>
                <c:pt idx="4">
                  <c:v>13.3446</c:v>
                </c:pt>
                <c:pt idx="5">
                  <c:v>24.0229</c:v>
                </c:pt>
                <c:pt idx="6">
                  <c:v>23.8428</c:v>
                </c:pt>
                <c:pt idx="7">
                  <c:v>23.693999999999999</c:v>
                </c:pt>
                <c:pt idx="8">
                  <c:v>94.877099999999999</c:v>
                </c:pt>
                <c:pt idx="9">
                  <c:v>94.581400000000002</c:v>
                </c:pt>
                <c:pt idx="10">
                  <c:v>95.158100000000005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30-4AC7-AD62-0C71B0043D8F}"/>
            </c:ext>
          </c:extLst>
        </c:ser>
        <c:ser>
          <c:idx val="4"/>
          <c:order val="4"/>
          <c:tx>
            <c:v>4x24 (T=96), 300 MHz</c:v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strRef>
              <c:f>'Family Mixed Latency'!$A$2:$A$12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'Family Mixed Latency'!$F$2:$F$12</c:f>
              <c:numCache>
                <c:formatCode>General</c:formatCode>
                <c:ptCount val="11"/>
                <c:pt idx="0">
                  <c:v>1.6302000000000001</c:v>
                </c:pt>
                <c:pt idx="1">
                  <c:v>2.4611999999999998</c:v>
                </c:pt>
                <c:pt idx="2">
                  <c:v>4.8741000000000003</c:v>
                </c:pt>
                <c:pt idx="3">
                  <c:v>9.8201999999999998</c:v>
                </c:pt>
                <c:pt idx="4">
                  <c:v>9.7149000000000001</c:v>
                </c:pt>
                <c:pt idx="5">
                  <c:v>17.830400000000001</c:v>
                </c:pt>
                <c:pt idx="6">
                  <c:v>19.156700000000001</c:v>
                </c:pt>
                <c:pt idx="7">
                  <c:v>19.448499999999999</c:v>
                </c:pt>
                <c:pt idx="8">
                  <c:v>71.283299999999997</c:v>
                </c:pt>
                <c:pt idx="9">
                  <c:v>71.784300000000002</c:v>
                </c:pt>
                <c:pt idx="10">
                  <c:v>76.482200000000006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30-4AC7-AD62-0C71B0043D8F}"/>
            </c:ext>
          </c:extLst>
        </c:ser>
        <c:ser>
          <c:idx val="5"/>
          <c:order val="5"/>
          <c:tx>
            <c:v>4x32 (T=128), 250 MHz</c:v>
          </c:tx>
          <c:spPr>
            <a:solidFill>
              <a:srgbClr val="008300"/>
            </a:solidFill>
            <a:ln>
              <a:noFill/>
            </a:ln>
            <a:effectLst/>
          </c:spPr>
          <c:invertIfNegative val="0"/>
          <c:cat>
            <c:strRef>
              <c:f>'Family Mixed Latency'!$A$2:$A$12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'Family Mixed Latency'!$G$2:$G$12</c:f>
              <c:numCache>
                <c:formatCode>General</c:formatCode>
                <c:ptCount val="11"/>
                <c:pt idx="0">
                  <c:v>0.96989999999999998</c:v>
                </c:pt>
                <c:pt idx="1">
                  <c:v>2.8801000000000001</c:v>
                </c:pt>
                <c:pt idx="2">
                  <c:v>3.8020999999999998</c:v>
                </c:pt>
                <c:pt idx="3">
                  <c:v>8.8222000000000005</c:v>
                </c:pt>
                <c:pt idx="4">
                  <c:v>11.4574</c:v>
                </c:pt>
                <c:pt idx="5">
                  <c:v>15.446899999999999</c:v>
                </c:pt>
                <c:pt idx="6">
                  <c:v>15.355600000000001</c:v>
                </c:pt>
                <c:pt idx="7">
                  <c:v>15.3422</c:v>
                </c:pt>
                <c:pt idx="8">
                  <c:v>61.622300000000003</c:v>
                </c:pt>
                <c:pt idx="9">
                  <c:v>61.404000000000003</c:v>
                </c:pt>
                <c:pt idx="10">
                  <c:v>61.640300000000003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30-4AC7-AD62-0C71B004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19711"/>
        <c:axId val="1826672560"/>
      </c:barChart>
      <c:catAx>
        <c:axId val="21191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826672560"/>
        <c:crosses val="autoZero"/>
        <c:auto val="1"/>
        <c:lblAlgn val="ctr"/>
        <c:lblOffset val="100"/>
        <c:noMultiLvlLbl val="0"/>
      </c:catAx>
      <c:valAx>
        <c:axId val="1826672560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Latency per matrix (us,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1191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energy to complete each MIXED matrix: static vs dynamic, by family (each family at its own clock)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Static (uJ)</c:v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'Family Mixed Energy'!$A$2:$B$67</c:f>
              <c:multiLvlStrCache>
                <c:ptCount val="66"/>
                <c:lvl>
                  <c:pt idx="0">
                    <c:v>4x4</c:v>
                  </c:pt>
                  <c:pt idx="1">
                    <c:v>8x4</c:v>
                  </c:pt>
                  <c:pt idx="2">
                    <c:v>16x3</c:v>
                  </c:pt>
                  <c:pt idx="3">
                    <c:v>8x8</c:v>
                  </c:pt>
                  <c:pt idx="4">
                    <c:v>4x24</c:v>
                  </c:pt>
                  <c:pt idx="5">
                    <c:v>4x32</c:v>
                  </c:pt>
                  <c:pt idx="6">
                    <c:v>4x4</c:v>
                  </c:pt>
                  <c:pt idx="7">
                    <c:v>8x4</c:v>
                  </c:pt>
                  <c:pt idx="8">
                    <c:v>16x3</c:v>
                  </c:pt>
                  <c:pt idx="9">
                    <c:v>8x8</c:v>
                  </c:pt>
                  <c:pt idx="10">
                    <c:v>4x24</c:v>
                  </c:pt>
                  <c:pt idx="11">
                    <c:v>4x32</c:v>
                  </c:pt>
                  <c:pt idx="12">
                    <c:v>4x4</c:v>
                  </c:pt>
                  <c:pt idx="13">
                    <c:v>8x4</c:v>
                  </c:pt>
                  <c:pt idx="14">
                    <c:v>16x3</c:v>
                  </c:pt>
                  <c:pt idx="15">
                    <c:v>8x8</c:v>
                  </c:pt>
                  <c:pt idx="16">
                    <c:v>4x24</c:v>
                  </c:pt>
                  <c:pt idx="17">
                    <c:v>4x32</c:v>
                  </c:pt>
                  <c:pt idx="18">
                    <c:v>4x4</c:v>
                  </c:pt>
                  <c:pt idx="19">
                    <c:v>8x4</c:v>
                  </c:pt>
                  <c:pt idx="20">
                    <c:v>16x3</c:v>
                  </c:pt>
                  <c:pt idx="21">
                    <c:v>8x8</c:v>
                  </c:pt>
                  <c:pt idx="22">
                    <c:v>4x24</c:v>
                  </c:pt>
                  <c:pt idx="23">
                    <c:v>4x32</c:v>
                  </c:pt>
                  <c:pt idx="24">
                    <c:v>4x4</c:v>
                  </c:pt>
                  <c:pt idx="25">
                    <c:v>8x4</c:v>
                  </c:pt>
                  <c:pt idx="26">
                    <c:v>16x3</c:v>
                  </c:pt>
                  <c:pt idx="27">
                    <c:v>8x8</c:v>
                  </c:pt>
                  <c:pt idx="28">
                    <c:v>4x24</c:v>
                  </c:pt>
                  <c:pt idx="29">
                    <c:v>4x32</c:v>
                  </c:pt>
                  <c:pt idx="30">
                    <c:v>4x4</c:v>
                  </c:pt>
                  <c:pt idx="31">
                    <c:v>8x4</c:v>
                  </c:pt>
                  <c:pt idx="32">
                    <c:v>16x3</c:v>
                  </c:pt>
                  <c:pt idx="33">
                    <c:v>8x8</c:v>
                  </c:pt>
                  <c:pt idx="34">
                    <c:v>4x24</c:v>
                  </c:pt>
                  <c:pt idx="35">
                    <c:v>4x32</c:v>
                  </c:pt>
                  <c:pt idx="36">
                    <c:v>4x4</c:v>
                  </c:pt>
                  <c:pt idx="37">
                    <c:v>8x4</c:v>
                  </c:pt>
                  <c:pt idx="38">
                    <c:v>16x3</c:v>
                  </c:pt>
                  <c:pt idx="39">
                    <c:v>8x8</c:v>
                  </c:pt>
                  <c:pt idx="40">
                    <c:v>4x24</c:v>
                  </c:pt>
                  <c:pt idx="41">
                    <c:v>4x32</c:v>
                  </c:pt>
                  <c:pt idx="42">
                    <c:v>4x4</c:v>
                  </c:pt>
                  <c:pt idx="43">
                    <c:v>8x4</c:v>
                  </c:pt>
                  <c:pt idx="44">
                    <c:v>16x3</c:v>
                  </c:pt>
                  <c:pt idx="45">
                    <c:v>8x8</c:v>
                  </c:pt>
                  <c:pt idx="46">
                    <c:v>4x24</c:v>
                  </c:pt>
                  <c:pt idx="47">
                    <c:v>4x32</c:v>
                  </c:pt>
                  <c:pt idx="48">
                    <c:v>4x4</c:v>
                  </c:pt>
                  <c:pt idx="49">
                    <c:v>8x4</c:v>
                  </c:pt>
                  <c:pt idx="50">
                    <c:v>16x3</c:v>
                  </c:pt>
                  <c:pt idx="51">
                    <c:v>8x8</c:v>
                  </c:pt>
                  <c:pt idx="52">
                    <c:v>4x24</c:v>
                  </c:pt>
                  <c:pt idx="53">
                    <c:v>4x32</c:v>
                  </c:pt>
                  <c:pt idx="54">
                    <c:v>4x4</c:v>
                  </c:pt>
                  <c:pt idx="55">
                    <c:v>8x4</c:v>
                  </c:pt>
                  <c:pt idx="56">
                    <c:v>16x3</c:v>
                  </c:pt>
                  <c:pt idx="57">
                    <c:v>8x8</c:v>
                  </c:pt>
                  <c:pt idx="58">
                    <c:v>4x24</c:v>
                  </c:pt>
                  <c:pt idx="59">
                    <c:v>4x32</c:v>
                  </c:pt>
                  <c:pt idx="60">
                    <c:v>4x4</c:v>
                  </c:pt>
                  <c:pt idx="61">
                    <c:v>8x4</c:v>
                  </c:pt>
                  <c:pt idx="62">
                    <c:v>16x3</c:v>
                  </c:pt>
                  <c:pt idx="63">
                    <c:v>8x8</c:v>
                  </c:pt>
                  <c:pt idx="64">
                    <c:v>4x24</c:v>
                  </c:pt>
                  <c:pt idx="65">
                    <c:v>4x32</c:v>
                  </c:pt>
                </c:lvl>
                <c:lvl>
                  <c:pt idx="0">
                    <c:v>512x512</c:v>
                  </c:pt>
                  <c:pt idx="6">
                    <c:v>768x768</c:v>
                  </c:pt>
                  <c:pt idx="12">
                    <c:v>1024x1024</c:v>
                  </c:pt>
                  <c:pt idx="18">
                    <c:v>3072x768</c:v>
                  </c:pt>
                  <c:pt idx="24">
                    <c:v>768x3072</c:v>
                  </c:pt>
                  <c:pt idx="30">
                    <c:v>4096x1024</c:v>
                  </c:pt>
                  <c:pt idx="36">
                    <c:v>1024x4096</c:v>
                  </c:pt>
                  <c:pt idx="42">
                    <c:v>2048x2048</c:v>
                  </c:pt>
                  <c:pt idx="48">
                    <c:v>4096x4096</c:v>
                  </c:pt>
                  <c:pt idx="54">
                    <c:v>8192x2048</c:v>
                  </c:pt>
                  <c:pt idx="60">
                    <c:v>2048x8192</c:v>
                  </c:pt>
                </c:lvl>
              </c:multiLvlStrCache>
            </c:multiLvlStrRef>
          </c:cat>
          <c:val>
            <c:numRef>
              <c:f>'Family Mixed Energy'!$C$2:$C$67</c:f>
              <c:numCache>
                <c:formatCode>General</c:formatCode>
                <c:ptCount val="66"/>
                <c:pt idx="0">
                  <c:v>123.875</c:v>
                </c:pt>
                <c:pt idx="1">
                  <c:v>70.323999999999998</c:v>
                </c:pt>
                <c:pt idx="2">
                  <c:v>57.89</c:v>
                </c:pt>
                <c:pt idx="3">
                  <c:v>46.491</c:v>
                </c:pt>
                <c:pt idx="4">
                  <c:v>53.198</c:v>
                </c:pt>
                <c:pt idx="5">
                  <c:v>32.671999999999997</c:v>
                </c:pt>
                <c:pt idx="6">
                  <c:v>278.96199999999999</c:v>
                </c:pt>
                <c:pt idx="7">
                  <c:v>156.75899999999999</c:v>
                </c:pt>
                <c:pt idx="8">
                  <c:v>115.405</c:v>
                </c:pt>
                <c:pt idx="9">
                  <c:v>104.34699999999999</c:v>
                </c:pt>
                <c:pt idx="10">
                  <c:v>80.316000000000003</c:v>
                </c:pt>
                <c:pt idx="11">
                  <c:v>97.019000000000005</c:v>
                </c:pt>
                <c:pt idx="12">
                  <c:v>491.61200000000002</c:v>
                </c:pt>
                <c:pt idx="13">
                  <c:v>278.01600000000002</c:v>
                </c:pt>
                <c:pt idx="14">
                  <c:v>229.06700000000001</c:v>
                </c:pt>
                <c:pt idx="15">
                  <c:v>184.43299999999999</c:v>
                </c:pt>
                <c:pt idx="16">
                  <c:v>159.05699999999999</c:v>
                </c:pt>
                <c:pt idx="17">
                  <c:v>128.078</c:v>
                </c:pt>
                <c:pt idx="18">
                  <c:v>1114.1010000000001</c:v>
                </c:pt>
                <c:pt idx="19">
                  <c:v>624.65599999999995</c:v>
                </c:pt>
                <c:pt idx="20">
                  <c:v>456.05500000000001</c:v>
                </c:pt>
                <c:pt idx="21">
                  <c:v>418.536</c:v>
                </c:pt>
                <c:pt idx="22">
                  <c:v>320.46300000000002</c:v>
                </c:pt>
                <c:pt idx="23">
                  <c:v>297.185</c:v>
                </c:pt>
                <c:pt idx="24">
                  <c:v>1099.296</c:v>
                </c:pt>
                <c:pt idx="25">
                  <c:v>622.41800000000001</c:v>
                </c:pt>
                <c:pt idx="26">
                  <c:v>455.52699999999999</c:v>
                </c:pt>
                <c:pt idx="27">
                  <c:v>412.12099999999998</c:v>
                </c:pt>
                <c:pt idx="28">
                  <c:v>317.02600000000001</c:v>
                </c:pt>
                <c:pt idx="29">
                  <c:v>385.95400000000001</c:v>
                </c:pt>
                <c:pt idx="30">
                  <c:v>1970.5920000000001</c:v>
                </c:pt>
                <c:pt idx="31">
                  <c:v>1120.1199999999999</c:v>
                </c:pt>
                <c:pt idx="32">
                  <c:v>833.51700000000005</c:v>
                </c:pt>
                <c:pt idx="33">
                  <c:v>741.899</c:v>
                </c:pt>
                <c:pt idx="34">
                  <c:v>581.85900000000004</c:v>
                </c:pt>
                <c:pt idx="35">
                  <c:v>520.34400000000005</c:v>
                </c:pt>
                <c:pt idx="36">
                  <c:v>1950.2349999999999</c:v>
                </c:pt>
                <c:pt idx="37">
                  <c:v>1101.9570000000001</c:v>
                </c:pt>
                <c:pt idx="38">
                  <c:v>914.86800000000005</c:v>
                </c:pt>
                <c:pt idx="39">
                  <c:v>736.33699999999999</c:v>
                </c:pt>
                <c:pt idx="40">
                  <c:v>625.14099999999996</c:v>
                </c:pt>
                <c:pt idx="41">
                  <c:v>517.26900000000001</c:v>
                </c:pt>
                <c:pt idx="42">
                  <c:v>1961.6420000000001</c:v>
                </c:pt>
                <c:pt idx="43">
                  <c:v>1109.8689999999999</c:v>
                </c:pt>
                <c:pt idx="44">
                  <c:v>838.83299999999997</c:v>
                </c:pt>
                <c:pt idx="45">
                  <c:v>731.74199999999996</c:v>
                </c:pt>
                <c:pt idx="46">
                  <c:v>634.66300000000001</c:v>
                </c:pt>
                <c:pt idx="47">
                  <c:v>516.81700000000001</c:v>
                </c:pt>
                <c:pt idx="48">
                  <c:v>7835.4229999999998</c:v>
                </c:pt>
                <c:pt idx="49">
                  <c:v>4466.549</c:v>
                </c:pt>
                <c:pt idx="50">
                  <c:v>3322.1350000000002</c:v>
                </c:pt>
                <c:pt idx="51">
                  <c:v>2930.0889999999999</c:v>
                </c:pt>
                <c:pt idx="52">
                  <c:v>2326.1880000000001</c:v>
                </c:pt>
                <c:pt idx="53">
                  <c:v>2075.8090000000002</c:v>
                </c:pt>
                <c:pt idx="54">
                  <c:v>7795.0410000000002</c:v>
                </c:pt>
                <c:pt idx="55">
                  <c:v>4444.5249999999996</c:v>
                </c:pt>
                <c:pt idx="56">
                  <c:v>3217.6469999999999</c:v>
                </c:pt>
                <c:pt idx="57">
                  <c:v>2920.9569999999999</c:v>
                </c:pt>
                <c:pt idx="58">
                  <c:v>2342.5369999999998</c:v>
                </c:pt>
                <c:pt idx="59">
                  <c:v>2068.4549999999999</c:v>
                </c:pt>
                <c:pt idx="60">
                  <c:v>7806.1760000000004</c:v>
                </c:pt>
                <c:pt idx="61">
                  <c:v>4415.24</c:v>
                </c:pt>
                <c:pt idx="62">
                  <c:v>3334.1280000000002</c:v>
                </c:pt>
                <c:pt idx="63">
                  <c:v>2938.768</c:v>
                </c:pt>
                <c:pt idx="64">
                  <c:v>2495.8440000000001</c:v>
                </c:pt>
                <c:pt idx="65">
                  <c:v>2076.415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7-4AA7-B4D9-BD002B1923AA}"/>
            </c:ext>
          </c:extLst>
        </c:ser>
        <c:ser>
          <c:idx val="1"/>
          <c:order val="1"/>
          <c:tx>
            <c:v>Dynamic (uJ)</c:v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'Family Mixed Energy'!$A$2:$B$67</c:f>
              <c:multiLvlStrCache>
                <c:ptCount val="66"/>
                <c:lvl>
                  <c:pt idx="0">
                    <c:v>4x4</c:v>
                  </c:pt>
                  <c:pt idx="1">
                    <c:v>8x4</c:v>
                  </c:pt>
                  <c:pt idx="2">
                    <c:v>16x3</c:v>
                  </c:pt>
                  <c:pt idx="3">
                    <c:v>8x8</c:v>
                  </c:pt>
                  <c:pt idx="4">
                    <c:v>4x24</c:v>
                  </c:pt>
                  <c:pt idx="5">
                    <c:v>4x32</c:v>
                  </c:pt>
                  <c:pt idx="6">
                    <c:v>4x4</c:v>
                  </c:pt>
                  <c:pt idx="7">
                    <c:v>8x4</c:v>
                  </c:pt>
                  <c:pt idx="8">
                    <c:v>16x3</c:v>
                  </c:pt>
                  <c:pt idx="9">
                    <c:v>8x8</c:v>
                  </c:pt>
                  <c:pt idx="10">
                    <c:v>4x24</c:v>
                  </c:pt>
                  <c:pt idx="11">
                    <c:v>4x32</c:v>
                  </c:pt>
                  <c:pt idx="12">
                    <c:v>4x4</c:v>
                  </c:pt>
                  <c:pt idx="13">
                    <c:v>8x4</c:v>
                  </c:pt>
                  <c:pt idx="14">
                    <c:v>16x3</c:v>
                  </c:pt>
                  <c:pt idx="15">
                    <c:v>8x8</c:v>
                  </c:pt>
                  <c:pt idx="16">
                    <c:v>4x24</c:v>
                  </c:pt>
                  <c:pt idx="17">
                    <c:v>4x32</c:v>
                  </c:pt>
                  <c:pt idx="18">
                    <c:v>4x4</c:v>
                  </c:pt>
                  <c:pt idx="19">
                    <c:v>8x4</c:v>
                  </c:pt>
                  <c:pt idx="20">
                    <c:v>16x3</c:v>
                  </c:pt>
                  <c:pt idx="21">
                    <c:v>8x8</c:v>
                  </c:pt>
                  <c:pt idx="22">
                    <c:v>4x24</c:v>
                  </c:pt>
                  <c:pt idx="23">
                    <c:v>4x32</c:v>
                  </c:pt>
                  <c:pt idx="24">
                    <c:v>4x4</c:v>
                  </c:pt>
                  <c:pt idx="25">
                    <c:v>8x4</c:v>
                  </c:pt>
                  <c:pt idx="26">
                    <c:v>16x3</c:v>
                  </c:pt>
                  <c:pt idx="27">
                    <c:v>8x8</c:v>
                  </c:pt>
                  <c:pt idx="28">
                    <c:v>4x24</c:v>
                  </c:pt>
                  <c:pt idx="29">
                    <c:v>4x32</c:v>
                  </c:pt>
                  <c:pt idx="30">
                    <c:v>4x4</c:v>
                  </c:pt>
                  <c:pt idx="31">
                    <c:v>8x4</c:v>
                  </c:pt>
                  <c:pt idx="32">
                    <c:v>16x3</c:v>
                  </c:pt>
                  <c:pt idx="33">
                    <c:v>8x8</c:v>
                  </c:pt>
                  <c:pt idx="34">
                    <c:v>4x24</c:v>
                  </c:pt>
                  <c:pt idx="35">
                    <c:v>4x32</c:v>
                  </c:pt>
                  <c:pt idx="36">
                    <c:v>4x4</c:v>
                  </c:pt>
                  <c:pt idx="37">
                    <c:v>8x4</c:v>
                  </c:pt>
                  <c:pt idx="38">
                    <c:v>16x3</c:v>
                  </c:pt>
                  <c:pt idx="39">
                    <c:v>8x8</c:v>
                  </c:pt>
                  <c:pt idx="40">
                    <c:v>4x24</c:v>
                  </c:pt>
                  <c:pt idx="41">
                    <c:v>4x32</c:v>
                  </c:pt>
                  <c:pt idx="42">
                    <c:v>4x4</c:v>
                  </c:pt>
                  <c:pt idx="43">
                    <c:v>8x4</c:v>
                  </c:pt>
                  <c:pt idx="44">
                    <c:v>16x3</c:v>
                  </c:pt>
                  <c:pt idx="45">
                    <c:v>8x8</c:v>
                  </c:pt>
                  <c:pt idx="46">
                    <c:v>4x24</c:v>
                  </c:pt>
                  <c:pt idx="47">
                    <c:v>4x32</c:v>
                  </c:pt>
                  <c:pt idx="48">
                    <c:v>4x4</c:v>
                  </c:pt>
                  <c:pt idx="49">
                    <c:v>8x4</c:v>
                  </c:pt>
                  <c:pt idx="50">
                    <c:v>16x3</c:v>
                  </c:pt>
                  <c:pt idx="51">
                    <c:v>8x8</c:v>
                  </c:pt>
                  <c:pt idx="52">
                    <c:v>4x24</c:v>
                  </c:pt>
                  <c:pt idx="53">
                    <c:v>4x32</c:v>
                  </c:pt>
                  <c:pt idx="54">
                    <c:v>4x4</c:v>
                  </c:pt>
                  <c:pt idx="55">
                    <c:v>8x4</c:v>
                  </c:pt>
                  <c:pt idx="56">
                    <c:v>16x3</c:v>
                  </c:pt>
                  <c:pt idx="57">
                    <c:v>8x8</c:v>
                  </c:pt>
                  <c:pt idx="58">
                    <c:v>4x24</c:v>
                  </c:pt>
                  <c:pt idx="59">
                    <c:v>4x32</c:v>
                  </c:pt>
                  <c:pt idx="60">
                    <c:v>4x4</c:v>
                  </c:pt>
                  <c:pt idx="61">
                    <c:v>8x4</c:v>
                  </c:pt>
                  <c:pt idx="62">
                    <c:v>16x3</c:v>
                  </c:pt>
                  <c:pt idx="63">
                    <c:v>8x8</c:v>
                  </c:pt>
                  <c:pt idx="64">
                    <c:v>4x24</c:v>
                  </c:pt>
                  <c:pt idx="65">
                    <c:v>4x32</c:v>
                  </c:pt>
                </c:lvl>
                <c:lvl>
                  <c:pt idx="0">
                    <c:v>512x512</c:v>
                  </c:pt>
                  <c:pt idx="6">
                    <c:v>768x768</c:v>
                  </c:pt>
                  <c:pt idx="12">
                    <c:v>1024x1024</c:v>
                  </c:pt>
                  <c:pt idx="18">
                    <c:v>3072x768</c:v>
                  </c:pt>
                  <c:pt idx="24">
                    <c:v>768x3072</c:v>
                  </c:pt>
                  <c:pt idx="30">
                    <c:v>4096x1024</c:v>
                  </c:pt>
                  <c:pt idx="36">
                    <c:v>1024x4096</c:v>
                  </c:pt>
                  <c:pt idx="42">
                    <c:v>2048x2048</c:v>
                  </c:pt>
                  <c:pt idx="48">
                    <c:v>4096x4096</c:v>
                  </c:pt>
                  <c:pt idx="54">
                    <c:v>8192x2048</c:v>
                  </c:pt>
                  <c:pt idx="60">
                    <c:v>2048x8192</c:v>
                  </c:pt>
                </c:lvl>
              </c:multiLvlStrCache>
            </c:multiLvlStrRef>
          </c:cat>
          <c:val>
            <c:numRef>
              <c:f>'Family Mixed Energy'!$D$2:$D$67</c:f>
              <c:numCache>
                <c:formatCode>General</c:formatCode>
                <c:ptCount val="66"/>
                <c:pt idx="0">
                  <c:v>10.342000000000001</c:v>
                </c:pt>
                <c:pt idx="1">
                  <c:v>8.2949999999999999</c:v>
                </c:pt>
                <c:pt idx="2">
                  <c:v>9.9649999999999999</c:v>
                </c:pt>
                <c:pt idx="3">
                  <c:v>8.1340000000000003</c:v>
                </c:pt>
                <c:pt idx="4">
                  <c:v>12.711</c:v>
                </c:pt>
                <c:pt idx="5">
                  <c:v>8.327</c:v>
                </c:pt>
                <c:pt idx="6">
                  <c:v>23.289000000000001</c:v>
                </c:pt>
                <c:pt idx="7">
                  <c:v>18.489999999999998</c:v>
                </c:pt>
                <c:pt idx="8">
                  <c:v>19.866</c:v>
                </c:pt>
                <c:pt idx="9">
                  <c:v>18.256</c:v>
                </c:pt>
                <c:pt idx="10">
                  <c:v>19.190000000000001</c:v>
                </c:pt>
                <c:pt idx="11">
                  <c:v>24.725999999999999</c:v>
                </c:pt>
                <c:pt idx="12">
                  <c:v>41.042000000000002</c:v>
                </c:pt>
                <c:pt idx="13">
                  <c:v>32.792000000000002</c:v>
                </c:pt>
                <c:pt idx="14">
                  <c:v>39.430999999999997</c:v>
                </c:pt>
                <c:pt idx="15">
                  <c:v>32.267000000000003</c:v>
                </c:pt>
                <c:pt idx="16">
                  <c:v>38.003</c:v>
                </c:pt>
                <c:pt idx="17">
                  <c:v>32.640999999999998</c:v>
                </c:pt>
                <c:pt idx="18">
                  <c:v>93.010999999999996</c:v>
                </c:pt>
                <c:pt idx="19">
                  <c:v>73.677999999999997</c:v>
                </c:pt>
                <c:pt idx="20">
                  <c:v>78.504999999999995</c:v>
                </c:pt>
                <c:pt idx="21">
                  <c:v>73.222999999999999</c:v>
                </c:pt>
                <c:pt idx="22">
                  <c:v>76.567999999999998</c:v>
                </c:pt>
                <c:pt idx="23">
                  <c:v>75.739000000000004</c:v>
                </c:pt>
                <c:pt idx="24">
                  <c:v>91.775000000000006</c:v>
                </c:pt>
                <c:pt idx="25">
                  <c:v>73.414000000000001</c:v>
                </c:pt>
                <c:pt idx="26">
                  <c:v>78.414000000000001</c:v>
                </c:pt>
                <c:pt idx="27">
                  <c:v>72.100999999999999</c:v>
                </c:pt>
                <c:pt idx="28">
                  <c:v>75.747</c:v>
                </c:pt>
                <c:pt idx="29">
                  <c:v>98.361999999999995</c:v>
                </c:pt>
                <c:pt idx="30">
                  <c:v>164.51499999999999</c:v>
                </c:pt>
                <c:pt idx="31">
                  <c:v>132.11799999999999</c:v>
                </c:pt>
                <c:pt idx="32">
                  <c:v>143.48099999999999</c:v>
                </c:pt>
                <c:pt idx="33">
                  <c:v>129.79599999999999</c:v>
                </c:pt>
                <c:pt idx="34">
                  <c:v>139.024</c:v>
                </c:pt>
                <c:pt idx="35">
                  <c:v>132.61199999999999</c:v>
                </c:pt>
                <c:pt idx="36">
                  <c:v>162.816</c:v>
                </c:pt>
                <c:pt idx="37">
                  <c:v>129.97499999999999</c:v>
                </c:pt>
                <c:pt idx="38">
                  <c:v>157.48500000000001</c:v>
                </c:pt>
                <c:pt idx="39">
                  <c:v>128.82300000000001</c:v>
                </c:pt>
                <c:pt idx="40">
                  <c:v>149.36500000000001</c:v>
                </c:pt>
                <c:pt idx="41">
                  <c:v>131.828</c:v>
                </c:pt>
                <c:pt idx="42">
                  <c:v>163.768</c:v>
                </c:pt>
                <c:pt idx="43">
                  <c:v>130.90799999999999</c:v>
                </c:pt>
                <c:pt idx="44">
                  <c:v>144.39599999999999</c:v>
                </c:pt>
                <c:pt idx="45">
                  <c:v>128.01900000000001</c:v>
                </c:pt>
                <c:pt idx="46">
                  <c:v>151.63999999999999</c:v>
                </c:pt>
                <c:pt idx="47">
                  <c:v>131.71299999999999</c:v>
                </c:pt>
                <c:pt idx="48">
                  <c:v>654.14300000000003</c:v>
                </c:pt>
                <c:pt idx="49">
                  <c:v>526.827</c:v>
                </c:pt>
                <c:pt idx="50">
                  <c:v>571.87</c:v>
                </c:pt>
                <c:pt idx="51">
                  <c:v>512.62099999999998</c:v>
                </c:pt>
                <c:pt idx="52">
                  <c:v>555.79600000000005</c:v>
                </c:pt>
                <c:pt idx="53">
                  <c:v>529.02700000000004</c:v>
                </c:pt>
                <c:pt idx="54">
                  <c:v>650.77099999999996</c:v>
                </c:pt>
                <c:pt idx="55">
                  <c:v>524.22900000000004</c:v>
                </c:pt>
                <c:pt idx="56">
                  <c:v>553.88300000000004</c:v>
                </c:pt>
                <c:pt idx="57">
                  <c:v>511.02300000000002</c:v>
                </c:pt>
                <c:pt idx="58">
                  <c:v>559.702</c:v>
                </c:pt>
                <c:pt idx="59">
                  <c:v>527.15300000000002</c:v>
                </c:pt>
                <c:pt idx="60">
                  <c:v>651.70100000000002</c:v>
                </c:pt>
                <c:pt idx="61">
                  <c:v>520.77499999999998</c:v>
                </c:pt>
                <c:pt idx="62">
                  <c:v>573.93399999999997</c:v>
                </c:pt>
                <c:pt idx="63">
                  <c:v>514.13900000000001</c:v>
                </c:pt>
                <c:pt idx="64">
                  <c:v>596.33199999999999</c:v>
                </c:pt>
                <c:pt idx="65">
                  <c:v>529.18200000000002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7-4AA7-B4D9-BD002B192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2071903"/>
        <c:axId val="1826738320"/>
      </c:barChart>
      <c:catAx>
        <c:axId val="212071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Matrix dimensions (M x N), one bar per family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826738320"/>
        <c:crosses val="autoZero"/>
        <c:auto val="1"/>
        <c:lblAlgn val="ctr"/>
        <c:lblOffset val="100"/>
        <c:noMultiLvlLbl val="0"/>
      </c:catAx>
      <c:valAx>
        <c:axId val="1826738320"/>
        <c:scaling>
          <c:orientation val="minMax"/>
          <c:max val="9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Energy per matrix (uJ)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12071903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per matrix element for MIXED workloads: static vs dynamic, by family (each family at its own clock)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Static (pJ/element)</c:v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'Family Mixed Energy'!$A$2:$B$67</c:f>
              <c:multiLvlStrCache>
                <c:ptCount val="66"/>
                <c:lvl>
                  <c:pt idx="0">
                    <c:v>4x4</c:v>
                  </c:pt>
                  <c:pt idx="1">
                    <c:v>8x4</c:v>
                  </c:pt>
                  <c:pt idx="2">
                    <c:v>16x3</c:v>
                  </c:pt>
                  <c:pt idx="3">
                    <c:v>8x8</c:v>
                  </c:pt>
                  <c:pt idx="4">
                    <c:v>4x24</c:v>
                  </c:pt>
                  <c:pt idx="5">
                    <c:v>4x32</c:v>
                  </c:pt>
                  <c:pt idx="6">
                    <c:v>4x4</c:v>
                  </c:pt>
                  <c:pt idx="7">
                    <c:v>8x4</c:v>
                  </c:pt>
                  <c:pt idx="8">
                    <c:v>16x3</c:v>
                  </c:pt>
                  <c:pt idx="9">
                    <c:v>8x8</c:v>
                  </c:pt>
                  <c:pt idx="10">
                    <c:v>4x24</c:v>
                  </c:pt>
                  <c:pt idx="11">
                    <c:v>4x32</c:v>
                  </c:pt>
                  <c:pt idx="12">
                    <c:v>4x4</c:v>
                  </c:pt>
                  <c:pt idx="13">
                    <c:v>8x4</c:v>
                  </c:pt>
                  <c:pt idx="14">
                    <c:v>16x3</c:v>
                  </c:pt>
                  <c:pt idx="15">
                    <c:v>8x8</c:v>
                  </c:pt>
                  <c:pt idx="16">
                    <c:v>4x24</c:v>
                  </c:pt>
                  <c:pt idx="17">
                    <c:v>4x32</c:v>
                  </c:pt>
                  <c:pt idx="18">
                    <c:v>4x4</c:v>
                  </c:pt>
                  <c:pt idx="19">
                    <c:v>8x4</c:v>
                  </c:pt>
                  <c:pt idx="20">
                    <c:v>16x3</c:v>
                  </c:pt>
                  <c:pt idx="21">
                    <c:v>8x8</c:v>
                  </c:pt>
                  <c:pt idx="22">
                    <c:v>4x24</c:v>
                  </c:pt>
                  <c:pt idx="23">
                    <c:v>4x32</c:v>
                  </c:pt>
                  <c:pt idx="24">
                    <c:v>4x4</c:v>
                  </c:pt>
                  <c:pt idx="25">
                    <c:v>8x4</c:v>
                  </c:pt>
                  <c:pt idx="26">
                    <c:v>16x3</c:v>
                  </c:pt>
                  <c:pt idx="27">
                    <c:v>8x8</c:v>
                  </c:pt>
                  <c:pt idx="28">
                    <c:v>4x24</c:v>
                  </c:pt>
                  <c:pt idx="29">
                    <c:v>4x32</c:v>
                  </c:pt>
                  <c:pt idx="30">
                    <c:v>4x4</c:v>
                  </c:pt>
                  <c:pt idx="31">
                    <c:v>8x4</c:v>
                  </c:pt>
                  <c:pt idx="32">
                    <c:v>16x3</c:v>
                  </c:pt>
                  <c:pt idx="33">
                    <c:v>8x8</c:v>
                  </c:pt>
                  <c:pt idx="34">
                    <c:v>4x24</c:v>
                  </c:pt>
                  <c:pt idx="35">
                    <c:v>4x32</c:v>
                  </c:pt>
                  <c:pt idx="36">
                    <c:v>4x4</c:v>
                  </c:pt>
                  <c:pt idx="37">
                    <c:v>8x4</c:v>
                  </c:pt>
                  <c:pt idx="38">
                    <c:v>16x3</c:v>
                  </c:pt>
                  <c:pt idx="39">
                    <c:v>8x8</c:v>
                  </c:pt>
                  <c:pt idx="40">
                    <c:v>4x24</c:v>
                  </c:pt>
                  <c:pt idx="41">
                    <c:v>4x32</c:v>
                  </c:pt>
                  <c:pt idx="42">
                    <c:v>4x4</c:v>
                  </c:pt>
                  <c:pt idx="43">
                    <c:v>8x4</c:v>
                  </c:pt>
                  <c:pt idx="44">
                    <c:v>16x3</c:v>
                  </c:pt>
                  <c:pt idx="45">
                    <c:v>8x8</c:v>
                  </c:pt>
                  <c:pt idx="46">
                    <c:v>4x24</c:v>
                  </c:pt>
                  <c:pt idx="47">
                    <c:v>4x32</c:v>
                  </c:pt>
                  <c:pt idx="48">
                    <c:v>4x4</c:v>
                  </c:pt>
                  <c:pt idx="49">
                    <c:v>8x4</c:v>
                  </c:pt>
                  <c:pt idx="50">
                    <c:v>16x3</c:v>
                  </c:pt>
                  <c:pt idx="51">
                    <c:v>8x8</c:v>
                  </c:pt>
                  <c:pt idx="52">
                    <c:v>4x24</c:v>
                  </c:pt>
                  <c:pt idx="53">
                    <c:v>4x32</c:v>
                  </c:pt>
                  <c:pt idx="54">
                    <c:v>4x4</c:v>
                  </c:pt>
                  <c:pt idx="55">
                    <c:v>8x4</c:v>
                  </c:pt>
                  <c:pt idx="56">
                    <c:v>16x3</c:v>
                  </c:pt>
                  <c:pt idx="57">
                    <c:v>8x8</c:v>
                  </c:pt>
                  <c:pt idx="58">
                    <c:v>4x24</c:v>
                  </c:pt>
                  <c:pt idx="59">
                    <c:v>4x32</c:v>
                  </c:pt>
                  <c:pt idx="60">
                    <c:v>4x4</c:v>
                  </c:pt>
                  <c:pt idx="61">
                    <c:v>8x4</c:v>
                  </c:pt>
                  <c:pt idx="62">
                    <c:v>16x3</c:v>
                  </c:pt>
                  <c:pt idx="63">
                    <c:v>8x8</c:v>
                  </c:pt>
                  <c:pt idx="64">
                    <c:v>4x24</c:v>
                  </c:pt>
                  <c:pt idx="65">
                    <c:v>4x32</c:v>
                  </c:pt>
                </c:lvl>
                <c:lvl>
                  <c:pt idx="0">
                    <c:v>512x512</c:v>
                  </c:pt>
                  <c:pt idx="6">
                    <c:v>768x768</c:v>
                  </c:pt>
                  <c:pt idx="12">
                    <c:v>1024x1024</c:v>
                  </c:pt>
                  <c:pt idx="18">
                    <c:v>3072x768</c:v>
                  </c:pt>
                  <c:pt idx="24">
                    <c:v>768x3072</c:v>
                  </c:pt>
                  <c:pt idx="30">
                    <c:v>4096x1024</c:v>
                  </c:pt>
                  <c:pt idx="36">
                    <c:v>1024x4096</c:v>
                  </c:pt>
                  <c:pt idx="42">
                    <c:v>2048x2048</c:v>
                  </c:pt>
                  <c:pt idx="48">
                    <c:v>4096x4096</c:v>
                  </c:pt>
                  <c:pt idx="54">
                    <c:v>8192x2048</c:v>
                  </c:pt>
                  <c:pt idx="60">
                    <c:v>2048x8192</c:v>
                  </c:pt>
                </c:lvl>
              </c:multiLvlStrCache>
            </c:multiLvlStrRef>
          </c:cat>
          <c:val>
            <c:numRef>
              <c:f>'Family Mixed Energy'!$E$2:$E$67</c:f>
              <c:numCache>
                <c:formatCode>General</c:formatCode>
                <c:ptCount val="66"/>
                <c:pt idx="0">
                  <c:v>472.54500000000002</c:v>
                </c:pt>
                <c:pt idx="1">
                  <c:v>268.26499999999999</c:v>
                </c:pt>
                <c:pt idx="2">
                  <c:v>220.83099999999999</c:v>
                </c:pt>
                <c:pt idx="3">
                  <c:v>177.35</c:v>
                </c:pt>
                <c:pt idx="4">
                  <c:v>202.935</c:v>
                </c:pt>
                <c:pt idx="5">
                  <c:v>124.634</c:v>
                </c:pt>
                <c:pt idx="6">
                  <c:v>472.95800000000003</c:v>
                </c:pt>
                <c:pt idx="7">
                  <c:v>265.77199999999999</c:v>
                </c:pt>
                <c:pt idx="8">
                  <c:v>195.66</c:v>
                </c:pt>
                <c:pt idx="9">
                  <c:v>176.91300000000001</c:v>
                </c:pt>
                <c:pt idx="10">
                  <c:v>136.16999999999999</c:v>
                </c:pt>
                <c:pt idx="11">
                  <c:v>164.488</c:v>
                </c:pt>
                <c:pt idx="12">
                  <c:v>468.83800000000002</c:v>
                </c:pt>
                <c:pt idx="13">
                  <c:v>265.137</c:v>
                </c:pt>
                <c:pt idx="14">
                  <c:v>218.45500000000001</c:v>
                </c:pt>
                <c:pt idx="15">
                  <c:v>175.88900000000001</c:v>
                </c:pt>
                <c:pt idx="16">
                  <c:v>151.68799999999999</c:v>
                </c:pt>
                <c:pt idx="17">
                  <c:v>122.14400000000001</c:v>
                </c:pt>
                <c:pt idx="18">
                  <c:v>472.21800000000002</c:v>
                </c:pt>
                <c:pt idx="19">
                  <c:v>264.76400000000001</c:v>
                </c:pt>
                <c:pt idx="20">
                  <c:v>193.30099999999999</c:v>
                </c:pt>
                <c:pt idx="21">
                  <c:v>177.399</c:v>
                </c:pt>
                <c:pt idx="22">
                  <c:v>135.83000000000001</c:v>
                </c:pt>
                <c:pt idx="23">
                  <c:v>125.96299999999999</c:v>
                </c:pt>
                <c:pt idx="24">
                  <c:v>465.94200000000001</c:v>
                </c:pt>
                <c:pt idx="25">
                  <c:v>263.815</c:v>
                </c:pt>
                <c:pt idx="26">
                  <c:v>193.077</c:v>
                </c:pt>
                <c:pt idx="27">
                  <c:v>174.68</c:v>
                </c:pt>
                <c:pt idx="28">
                  <c:v>134.37299999999999</c:v>
                </c:pt>
                <c:pt idx="29">
                  <c:v>163.589</c:v>
                </c:pt>
                <c:pt idx="30">
                  <c:v>469.82600000000002</c:v>
                </c:pt>
                <c:pt idx="31">
                  <c:v>267.05700000000002</c:v>
                </c:pt>
                <c:pt idx="32">
                  <c:v>198.726</c:v>
                </c:pt>
                <c:pt idx="33">
                  <c:v>176.88300000000001</c:v>
                </c:pt>
                <c:pt idx="34">
                  <c:v>138.726</c:v>
                </c:pt>
                <c:pt idx="35">
                  <c:v>124.06</c:v>
                </c:pt>
                <c:pt idx="36">
                  <c:v>464.97199999999998</c:v>
                </c:pt>
                <c:pt idx="37">
                  <c:v>262.72699999999998</c:v>
                </c:pt>
                <c:pt idx="38">
                  <c:v>218.12100000000001</c:v>
                </c:pt>
                <c:pt idx="39">
                  <c:v>175.55600000000001</c:v>
                </c:pt>
                <c:pt idx="40">
                  <c:v>149.04499999999999</c:v>
                </c:pt>
                <c:pt idx="41">
                  <c:v>123.32599999999999</c:v>
                </c:pt>
                <c:pt idx="42">
                  <c:v>467.69200000000001</c:v>
                </c:pt>
                <c:pt idx="43">
                  <c:v>264.613</c:v>
                </c:pt>
                <c:pt idx="44">
                  <c:v>199.99299999999999</c:v>
                </c:pt>
                <c:pt idx="45">
                  <c:v>174.46100000000001</c:v>
                </c:pt>
                <c:pt idx="46">
                  <c:v>151.315</c:v>
                </c:pt>
                <c:pt idx="47">
                  <c:v>123.21899999999999</c:v>
                </c:pt>
                <c:pt idx="48">
                  <c:v>467.02800000000002</c:v>
                </c:pt>
                <c:pt idx="49">
                  <c:v>266.22699999999998</c:v>
                </c:pt>
                <c:pt idx="50">
                  <c:v>198.01499999999999</c:v>
                </c:pt>
                <c:pt idx="51">
                  <c:v>174.64699999999999</c:v>
                </c:pt>
                <c:pt idx="52">
                  <c:v>138.65199999999999</c:v>
                </c:pt>
                <c:pt idx="53">
                  <c:v>123.72799999999999</c:v>
                </c:pt>
                <c:pt idx="54">
                  <c:v>464.62099999999998</c:v>
                </c:pt>
                <c:pt idx="55">
                  <c:v>264.91399999999999</c:v>
                </c:pt>
                <c:pt idx="56">
                  <c:v>191.78700000000001</c:v>
                </c:pt>
                <c:pt idx="57">
                  <c:v>174.10300000000001</c:v>
                </c:pt>
                <c:pt idx="58">
                  <c:v>139.626</c:v>
                </c:pt>
                <c:pt idx="59">
                  <c:v>123.29</c:v>
                </c:pt>
                <c:pt idx="60">
                  <c:v>465.28399999999999</c:v>
                </c:pt>
                <c:pt idx="61">
                  <c:v>263.16899999999998</c:v>
                </c:pt>
                <c:pt idx="62">
                  <c:v>198.72900000000001</c:v>
                </c:pt>
                <c:pt idx="63">
                  <c:v>175.16399999999999</c:v>
                </c:pt>
                <c:pt idx="64">
                  <c:v>148.76400000000001</c:v>
                </c:pt>
                <c:pt idx="65">
                  <c:v>123.764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4-4510-A406-05B80AAD8096}"/>
            </c:ext>
          </c:extLst>
        </c:ser>
        <c:ser>
          <c:idx val="1"/>
          <c:order val="1"/>
          <c:tx>
            <c:v>Dynamic (pJ/element)</c:v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'Family Mixed Energy'!$A$2:$B$67</c:f>
              <c:multiLvlStrCache>
                <c:ptCount val="66"/>
                <c:lvl>
                  <c:pt idx="0">
                    <c:v>4x4</c:v>
                  </c:pt>
                  <c:pt idx="1">
                    <c:v>8x4</c:v>
                  </c:pt>
                  <c:pt idx="2">
                    <c:v>16x3</c:v>
                  </c:pt>
                  <c:pt idx="3">
                    <c:v>8x8</c:v>
                  </c:pt>
                  <c:pt idx="4">
                    <c:v>4x24</c:v>
                  </c:pt>
                  <c:pt idx="5">
                    <c:v>4x32</c:v>
                  </c:pt>
                  <c:pt idx="6">
                    <c:v>4x4</c:v>
                  </c:pt>
                  <c:pt idx="7">
                    <c:v>8x4</c:v>
                  </c:pt>
                  <c:pt idx="8">
                    <c:v>16x3</c:v>
                  </c:pt>
                  <c:pt idx="9">
                    <c:v>8x8</c:v>
                  </c:pt>
                  <c:pt idx="10">
                    <c:v>4x24</c:v>
                  </c:pt>
                  <c:pt idx="11">
                    <c:v>4x32</c:v>
                  </c:pt>
                  <c:pt idx="12">
                    <c:v>4x4</c:v>
                  </c:pt>
                  <c:pt idx="13">
                    <c:v>8x4</c:v>
                  </c:pt>
                  <c:pt idx="14">
                    <c:v>16x3</c:v>
                  </c:pt>
                  <c:pt idx="15">
                    <c:v>8x8</c:v>
                  </c:pt>
                  <c:pt idx="16">
                    <c:v>4x24</c:v>
                  </c:pt>
                  <c:pt idx="17">
                    <c:v>4x32</c:v>
                  </c:pt>
                  <c:pt idx="18">
                    <c:v>4x4</c:v>
                  </c:pt>
                  <c:pt idx="19">
                    <c:v>8x4</c:v>
                  </c:pt>
                  <c:pt idx="20">
                    <c:v>16x3</c:v>
                  </c:pt>
                  <c:pt idx="21">
                    <c:v>8x8</c:v>
                  </c:pt>
                  <c:pt idx="22">
                    <c:v>4x24</c:v>
                  </c:pt>
                  <c:pt idx="23">
                    <c:v>4x32</c:v>
                  </c:pt>
                  <c:pt idx="24">
                    <c:v>4x4</c:v>
                  </c:pt>
                  <c:pt idx="25">
                    <c:v>8x4</c:v>
                  </c:pt>
                  <c:pt idx="26">
                    <c:v>16x3</c:v>
                  </c:pt>
                  <c:pt idx="27">
                    <c:v>8x8</c:v>
                  </c:pt>
                  <c:pt idx="28">
                    <c:v>4x24</c:v>
                  </c:pt>
                  <c:pt idx="29">
                    <c:v>4x32</c:v>
                  </c:pt>
                  <c:pt idx="30">
                    <c:v>4x4</c:v>
                  </c:pt>
                  <c:pt idx="31">
                    <c:v>8x4</c:v>
                  </c:pt>
                  <c:pt idx="32">
                    <c:v>16x3</c:v>
                  </c:pt>
                  <c:pt idx="33">
                    <c:v>8x8</c:v>
                  </c:pt>
                  <c:pt idx="34">
                    <c:v>4x24</c:v>
                  </c:pt>
                  <c:pt idx="35">
                    <c:v>4x32</c:v>
                  </c:pt>
                  <c:pt idx="36">
                    <c:v>4x4</c:v>
                  </c:pt>
                  <c:pt idx="37">
                    <c:v>8x4</c:v>
                  </c:pt>
                  <c:pt idx="38">
                    <c:v>16x3</c:v>
                  </c:pt>
                  <c:pt idx="39">
                    <c:v>8x8</c:v>
                  </c:pt>
                  <c:pt idx="40">
                    <c:v>4x24</c:v>
                  </c:pt>
                  <c:pt idx="41">
                    <c:v>4x32</c:v>
                  </c:pt>
                  <c:pt idx="42">
                    <c:v>4x4</c:v>
                  </c:pt>
                  <c:pt idx="43">
                    <c:v>8x4</c:v>
                  </c:pt>
                  <c:pt idx="44">
                    <c:v>16x3</c:v>
                  </c:pt>
                  <c:pt idx="45">
                    <c:v>8x8</c:v>
                  </c:pt>
                  <c:pt idx="46">
                    <c:v>4x24</c:v>
                  </c:pt>
                  <c:pt idx="47">
                    <c:v>4x32</c:v>
                  </c:pt>
                  <c:pt idx="48">
                    <c:v>4x4</c:v>
                  </c:pt>
                  <c:pt idx="49">
                    <c:v>8x4</c:v>
                  </c:pt>
                  <c:pt idx="50">
                    <c:v>16x3</c:v>
                  </c:pt>
                  <c:pt idx="51">
                    <c:v>8x8</c:v>
                  </c:pt>
                  <c:pt idx="52">
                    <c:v>4x24</c:v>
                  </c:pt>
                  <c:pt idx="53">
                    <c:v>4x32</c:v>
                  </c:pt>
                  <c:pt idx="54">
                    <c:v>4x4</c:v>
                  </c:pt>
                  <c:pt idx="55">
                    <c:v>8x4</c:v>
                  </c:pt>
                  <c:pt idx="56">
                    <c:v>16x3</c:v>
                  </c:pt>
                  <c:pt idx="57">
                    <c:v>8x8</c:v>
                  </c:pt>
                  <c:pt idx="58">
                    <c:v>4x24</c:v>
                  </c:pt>
                  <c:pt idx="59">
                    <c:v>4x32</c:v>
                  </c:pt>
                  <c:pt idx="60">
                    <c:v>4x4</c:v>
                  </c:pt>
                  <c:pt idx="61">
                    <c:v>8x4</c:v>
                  </c:pt>
                  <c:pt idx="62">
                    <c:v>16x3</c:v>
                  </c:pt>
                  <c:pt idx="63">
                    <c:v>8x8</c:v>
                  </c:pt>
                  <c:pt idx="64">
                    <c:v>4x24</c:v>
                  </c:pt>
                  <c:pt idx="65">
                    <c:v>4x32</c:v>
                  </c:pt>
                </c:lvl>
                <c:lvl>
                  <c:pt idx="0">
                    <c:v>512x512</c:v>
                  </c:pt>
                  <c:pt idx="6">
                    <c:v>768x768</c:v>
                  </c:pt>
                  <c:pt idx="12">
                    <c:v>1024x1024</c:v>
                  </c:pt>
                  <c:pt idx="18">
                    <c:v>3072x768</c:v>
                  </c:pt>
                  <c:pt idx="24">
                    <c:v>768x3072</c:v>
                  </c:pt>
                  <c:pt idx="30">
                    <c:v>4096x1024</c:v>
                  </c:pt>
                  <c:pt idx="36">
                    <c:v>1024x4096</c:v>
                  </c:pt>
                  <c:pt idx="42">
                    <c:v>2048x2048</c:v>
                  </c:pt>
                  <c:pt idx="48">
                    <c:v>4096x4096</c:v>
                  </c:pt>
                  <c:pt idx="54">
                    <c:v>8192x2048</c:v>
                  </c:pt>
                  <c:pt idx="60">
                    <c:v>2048x8192</c:v>
                  </c:pt>
                </c:lvl>
              </c:multiLvlStrCache>
            </c:multiLvlStrRef>
          </c:cat>
          <c:val>
            <c:numRef>
              <c:f>'Family Mixed Energy'!$F$2:$F$67</c:f>
              <c:numCache>
                <c:formatCode>General</c:formatCode>
                <c:ptCount val="66"/>
                <c:pt idx="0">
                  <c:v>39.451000000000001</c:v>
                </c:pt>
                <c:pt idx="1">
                  <c:v>31.641999999999999</c:v>
                </c:pt>
                <c:pt idx="2">
                  <c:v>38.014000000000003</c:v>
                </c:pt>
                <c:pt idx="3">
                  <c:v>31.027999999999999</c:v>
                </c:pt>
                <c:pt idx="4">
                  <c:v>48.487000000000002</c:v>
                </c:pt>
                <c:pt idx="5">
                  <c:v>31.763000000000002</c:v>
                </c:pt>
                <c:pt idx="6">
                  <c:v>39.484999999999999</c:v>
                </c:pt>
                <c:pt idx="7">
                  <c:v>31.347999999999999</c:v>
                </c:pt>
                <c:pt idx="8">
                  <c:v>33.680999999999997</c:v>
                </c:pt>
                <c:pt idx="9">
                  <c:v>30.951000000000001</c:v>
                </c:pt>
                <c:pt idx="10">
                  <c:v>32.534999999999997</c:v>
                </c:pt>
                <c:pt idx="11">
                  <c:v>41.92</c:v>
                </c:pt>
                <c:pt idx="12">
                  <c:v>39.140999999999998</c:v>
                </c:pt>
                <c:pt idx="13">
                  <c:v>31.273</c:v>
                </c:pt>
                <c:pt idx="14">
                  <c:v>37.604999999999997</c:v>
                </c:pt>
                <c:pt idx="15">
                  <c:v>30.771999999999998</c:v>
                </c:pt>
                <c:pt idx="16">
                  <c:v>36.243000000000002</c:v>
                </c:pt>
                <c:pt idx="17">
                  <c:v>31.129000000000001</c:v>
                </c:pt>
                <c:pt idx="18">
                  <c:v>39.423000000000002</c:v>
                </c:pt>
                <c:pt idx="19">
                  <c:v>31.228999999999999</c:v>
                </c:pt>
                <c:pt idx="20">
                  <c:v>33.274999999999999</c:v>
                </c:pt>
                <c:pt idx="21">
                  <c:v>31.036000000000001</c:v>
                </c:pt>
                <c:pt idx="22">
                  <c:v>32.454000000000001</c:v>
                </c:pt>
                <c:pt idx="23">
                  <c:v>32.101999999999997</c:v>
                </c:pt>
                <c:pt idx="24">
                  <c:v>38.899000000000001</c:v>
                </c:pt>
                <c:pt idx="25">
                  <c:v>31.117000000000001</c:v>
                </c:pt>
                <c:pt idx="26">
                  <c:v>33.235999999999997</c:v>
                </c:pt>
                <c:pt idx="27">
                  <c:v>30.56</c:v>
                </c:pt>
                <c:pt idx="28">
                  <c:v>32.106000000000002</c:v>
                </c:pt>
                <c:pt idx="29">
                  <c:v>41.691000000000003</c:v>
                </c:pt>
                <c:pt idx="30">
                  <c:v>39.223999999999997</c:v>
                </c:pt>
                <c:pt idx="31">
                  <c:v>31.498999999999999</c:v>
                </c:pt>
                <c:pt idx="32">
                  <c:v>34.209000000000003</c:v>
                </c:pt>
                <c:pt idx="33">
                  <c:v>30.946000000000002</c:v>
                </c:pt>
                <c:pt idx="34">
                  <c:v>33.146000000000001</c:v>
                </c:pt>
                <c:pt idx="35">
                  <c:v>31.617000000000001</c:v>
                </c:pt>
                <c:pt idx="36">
                  <c:v>38.817999999999998</c:v>
                </c:pt>
                <c:pt idx="37">
                  <c:v>30.989000000000001</c:v>
                </c:pt>
                <c:pt idx="38">
                  <c:v>37.546999999999997</c:v>
                </c:pt>
                <c:pt idx="39">
                  <c:v>30.713999999999999</c:v>
                </c:pt>
                <c:pt idx="40">
                  <c:v>35.610999999999997</c:v>
                </c:pt>
                <c:pt idx="41">
                  <c:v>31.43</c:v>
                </c:pt>
                <c:pt idx="42">
                  <c:v>39.045000000000002</c:v>
                </c:pt>
                <c:pt idx="43">
                  <c:v>31.210999999999999</c:v>
                </c:pt>
                <c:pt idx="44">
                  <c:v>34.427</c:v>
                </c:pt>
                <c:pt idx="45">
                  <c:v>30.521999999999998</c:v>
                </c:pt>
                <c:pt idx="46">
                  <c:v>36.154000000000003</c:v>
                </c:pt>
                <c:pt idx="47">
                  <c:v>31.402999999999999</c:v>
                </c:pt>
                <c:pt idx="48">
                  <c:v>38.99</c:v>
                </c:pt>
                <c:pt idx="49">
                  <c:v>31.401</c:v>
                </c:pt>
                <c:pt idx="50">
                  <c:v>34.085999999999999</c:v>
                </c:pt>
                <c:pt idx="51">
                  <c:v>30.555</c:v>
                </c:pt>
                <c:pt idx="52">
                  <c:v>33.128</c:v>
                </c:pt>
                <c:pt idx="53">
                  <c:v>31.532</c:v>
                </c:pt>
                <c:pt idx="54">
                  <c:v>38.789000000000001</c:v>
                </c:pt>
                <c:pt idx="55">
                  <c:v>31.247</c:v>
                </c:pt>
                <c:pt idx="56">
                  <c:v>33.014000000000003</c:v>
                </c:pt>
                <c:pt idx="57">
                  <c:v>30.459</c:v>
                </c:pt>
                <c:pt idx="58">
                  <c:v>33.360999999999997</c:v>
                </c:pt>
                <c:pt idx="59">
                  <c:v>31.420999999999999</c:v>
                </c:pt>
                <c:pt idx="60">
                  <c:v>38.844000000000001</c:v>
                </c:pt>
                <c:pt idx="61">
                  <c:v>31.041</c:v>
                </c:pt>
                <c:pt idx="62">
                  <c:v>34.209000000000003</c:v>
                </c:pt>
                <c:pt idx="63">
                  <c:v>30.645</c:v>
                </c:pt>
                <c:pt idx="64">
                  <c:v>35.543999999999997</c:v>
                </c:pt>
                <c:pt idx="65">
                  <c:v>31.542000000000002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4-4510-A406-05B80AAD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1656719"/>
        <c:axId val="1826788720"/>
      </c:barChart>
      <c:catAx>
        <c:axId val="51656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Matrix dimensions (M x N), one bar per family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826788720"/>
        <c:crosses val="autoZero"/>
        <c:auto val="1"/>
        <c:lblAlgn val="ctr"/>
        <c:lblOffset val="100"/>
        <c:noMultiLvlLbl val="0"/>
      </c:catAx>
      <c:valAx>
        <c:axId val="1826788720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Energy per matrix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5165671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Interference between tenants: slowdown of each tenant vs running alone (up to 5 x 4x4 on one U280, 329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Tenant 0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multiLvlStrRef>
              <c:f>'MT Interference'!$A$2:$B$9</c:f>
              <c:multiLvlStrCache>
                <c:ptCount val="8"/>
                <c:lvl>
                  <c:pt idx="0">
                    <c:v>2 tenants</c:v>
                  </c:pt>
                  <c:pt idx="1">
                    <c:v>3 tenants</c:v>
                  </c:pt>
                  <c:pt idx="2">
                    <c:v>4 tenants</c:v>
                  </c:pt>
                  <c:pt idx="3">
                    <c:v>5 tenants</c:v>
                  </c:pt>
                  <c:pt idx="4">
                    <c:v>2 tenants</c:v>
                  </c:pt>
                  <c:pt idx="5">
                    <c:v>3 tenants</c:v>
                  </c:pt>
                  <c:pt idx="6">
                    <c:v>4 tenants</c:v>
                  </c:pt>
                  <c:pt idx="7">
                    <c:v>5 tenants</c:v>
                  </c:pt>
                </c:lvl>
                <c:lvl>
                  <c:pt idx="0">
                    <c:v>Mixed</c:v>
                  </c:pt>
                  <c:pt idx="4">
                    <c:v>All 2:32</c:v>
                  </c:pt>
                </c:lvl>
              </c:multiLvlStrCache>
            </c:multiLvlStrRef>
          </c:cat>
          <c:val>
            <c:numRef>
              <c:f>'MT Interference'!$C$2:$C$9</c:f>
              <c:numCache>
                <c:formatCode>General</c:formatCode>
                <c:ptCount val="8"/>
                <c:pt idx="0">
                  <c:v>0.89</c:v>
                </c:pt>
                <c:pt idx="1">
                  <c:v>0.97</c:v>
                </c:pt>
                <c:pt idx="2">
                  <c:v>1.18</c:v>
                </c:pt>
                <c:pt idx="3">
                  <c:v>1.45</c:v>
                </c:pt>
                <c:pt idx="4">
                  <c:v>0.43</c:v>
                </c:pt>
                <c:pt idx="5">
                  <c:v>0.39</c:v>
                </c:pt>
                <c:pt idx="6">
                  <c:v>0.41</c:v>
                </c:pt>
                <c:pt idx="7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0-4F87-A130-D7C7E5CA12BC}"/>
            </c:ext>
          </c:extLst>
        </c:ser>
        <c:ser>
          <c:idx val="1"/>
          <c:order val="1"/>
          <c:tx>
            <c:v>Tenant 1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multiLvlStrRef>
              <c:f>'MT Interference'!$A$2:$B$9</c:f>
              <c:multiLvlStrCache>
                <c:ptCount val="8"/>
                <c:lvl>
                  <c:pt idx="0">
                    <c:v>2 tenants</c:v>
                  </c:pt>
                  <c:pt idx="1">
                    <c:v>3 tenants</c:v>
                  </c:pt>
                  <c:pt idx="2">
                    <c:v>4 tenants</c:v>
                  </c:pt>
                  <c:pt idx="3">
                    <c:v>5 tenants</c:v>
                  </c:pt>
                  <c:pt idx="4">
                    <c:v>2 tenants</c:v>
                  </c:pt>
                  <c:pt idx="5">
                    <c:v>3 tenants</c:v>
                  </c:pt>
                  <c:pt idx="6">
                    <c:v>4 tenants</c:v>
                  </c:pt>
                  <c:pt idx="7">
                    <c:v>5 tenants</c:v>
                  </c:pt>
                </c:lvl>
                <c:lvl>
                  <c:pt idx="0">
                    <c:v>Mixed</c:v>
                  </c:pt>
                  <c:pt idx="4">
                    <c:v>All 2:32</c:v>
                  </c:pt>
                </c:lvl>
              </c:multiLvlStrCache>
            </c:multiLvlStrRef>
          </c:cat>
          <c:val>
            <c:numRef>
              <c:f>'MT Interference'!$D$2:$D$9</c:f>
              <c:numCache>
                <c:formatCode>General</c:formatCode>
                <c:ptCount val="8"/>
                <c:pt idx="0">
                  <c:v>-1.07</c:v>
                </c:pt>
                <c:pt idx="1">
                  <c:v>-0.66</c:v>
                </c:pt>
                <c:pt idx="2">
                  <c:v>-0.14000000000000001</c:v>
                </c:pt>
                <c:pt idx="3">
                  <c:v>0.04</c:v>
                </c:pt>
                <c:pt idx="4">
                  <c:v>-0.8</c:v>
                </c:pt>
                <c:pt idx="5">
                  <c:v>-0.8</c:v>
                </c:pt>
                <c:pt idx="6">
                  <c:v>-0.64</c:v>
                </c:pt>
                <c:pt idx="7">
                  <c:v>-0.06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0-4F87-A130-D7C7E5CA12BC}"/>
            </c:ext>
          </c:extLst>
        </c:ser>
        <c:ser>
          <c:idx val="2"/>
          <c:order val="2"/>
          <c:tx>
            <c:v>Tenant 2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multiLvlStrRef>
              <c:f>'MT Interference'!$A$2:$B$9</c:f>
              <c:multiLvlStrCache>
                <c:ptCount val="8"/>
                <c:lvl>
                  <c:pt idx="0">
                    <c:v>2 tenants</c:v>
                  </c:pt>
                  <c:pt idx="1">
                    <c:v>3 tenants</c:v>
                  </c:pt>
                  <c:pt idx="2">
                    <c:v>4 tenants</c:v>
                  </c:pt>
                  <c:pt idx="3">
                    <c:v>5 tenants</c:v>
                  </c:pt>
                  <c:pt idx="4">
                    <c:v>2 tenants</c:v>
                  </c:pt>
                  <c:pt idx="5">
                    <c:v>3 tenants</c:v>
                  </c:pt>
                  <c:pt idx="6">
                    <c:v>4 tenants</c:v>
                  </c:pt>
                  <c:pt idx="7">
                    <c:v>5 tenants</c:v>
                  </c:pt>
                </c:lvl>
                <c:lvl>
                  <c:pt idx="0">
                    <c:v>Mixed</c:v>
                  </c:pt>
                  <c:pt idx="4">
                    <c:v>All 2:32</c:v>
                  </c:pt>
                </c:lvl>
              </c:multiLvlStrCache>
            </c:multiLvlStrRef>
          </c:cat>
          <c:val>
            <c:numRef>
              <c:f>'MT Interference'!$E$2:$E$9</c:f>
              <c:numCache>
                <c:formatCode>General</c:formatCode>
                <c:ptCount val="8"/>
                <c:pt idx="1">
                  <c:v>-0.37</c:v>
                </c:pt>
                <c:pt idx="2">
                  <c:v>0.05</c:v>
                </c:pt>
                <c:pt idx="3">
                  <c:v>0.46</c:v>
                </c:pt>
                <c:pt idx="5">
                  <c:v>-0.08</c:v>
                </c:pt>
                <c:pt idx="6">
                  <c:v>0.13</c:v>
                </c:pt>
                <c:pt idx="7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50-4F87-A130-D7C7E5CA12BC}"/>
            </c:ext>
          </c:extLst>
        </c:ser>
        <c:ser>
          <c:idx val="3"/>
          <c:order val="3"/>
          <c:tx>
            <c:v>Tenant 3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multiLvlStrRef>
              <c:f>'MT Interference'!$A$2:$B$9</c:f>
              <c:multiLvlStrCache>
                <c:ptCount val="8"/>
                <c:lvl>
                  <c:pt idx="0">
                    <c:v>2 tenants</c:v>
                  </c:pt>
                  <c:pt idx="1">
                    <c:v>3 tenants</c:v>
                  </c:pt>
                  <c:pt idx="2">
                    <c:v>4 tenants</c:v>
                  </c:pt>
                  <c:pt idx="3">
                    <c:v>5 tenants</c:v>
                  </c:pt>
                  <c:pt idx="4">
                    <c:v>2 tenants</c:v>
                  </c:pt>
                  <c:pt idx="5">
                    <c:v>3 tenants</c:v>
                  </c:pt>
                  <c:pt idx="6">
                    <c:v>4 tenants</c:v>
                  </c:pt>
                  <c:pt idx="7">
                    <c:v>5 tenants</c:v>
                  </c:pt>
                </c:lvl>
                <c:lvl>
                  <c:pt idx="0">
                    <c:v>Mixed</c:v>
                  </c:pt>
                  <c:pt idx="4">
                    <c:v>All 2:32</c:v>
                  </c:pt>
                </c:lvl>
              </c:multiLvlStrCache>
            </c:multiLvlStrRef>
          </c:cat>
          <c:val>
            <c:numRef>
              <c:f>'MT Interference'!$F$2:$F$9</c:f>
              <c:numCache>
                <c:formatCode>General</c:formatCode>
                <c:ptCount val="8"/>
                <c:pt idx="2">
                  <c:v>-0.3</c:v>
                </c:pt>
                <c:pt idx="3">
                  <c:v>-0.38</c:v>
                </c:pt>
                <c:pt idx="6">
                  <c:v>-0.41</c:v>
                </c:pt>
                <c:pt idx="7">
                  <c:v>-0.62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50-4F87-A130-D7C7E5CA12BC}"/>
            </c:ext>
          </c:extLst>
        </c:ser>
        <c:ser>
          <c:idx val="4"/>
          <c:order val="4"/>
          <c:tx>
            <c:v>Tenant 4</c:v>
          </c:tx>
          <c:spPr>
            <a:solidFill>
              <a:srgbClr val="E87BA4"/>
            </a:solidFill>
            <a:ln>
              <a:noFill/>
            </a:ln>
            <a:effectLst/>
          </c:spPr>
          <c:invertIfNegative val="0"/>
          <c:cat>
            <c:multiLvlStrRef>
              <c:f>'MT Interference'!$A$2:$B$9</c:f>
              <c:multiLvlStrCache>
                <c:ptCount val="8"/>
                <c:lvl>
                  <c:pt idx="0">
                    <c:v>2 tenants</c:v>
                  </c:pt>
                  <c:pt idx="1">
                    <c:v>3 tenants</c:v>
                  </c:pt>
                  <c:pt idx="2">
                    <c:v>4 tenants</c:v>
                  </c:pt>
                  <c:pt idx="3">
                    <c:v>5 tenants</c:v>
                  </c:pt>
                  <c:pt idx="4">
                    <c:v>2 tenants</c:v>
                  </c:pt>
                  <c:pt idx="5">
                    <c:v>3 tenants</c:v>
                  </c:pt>
                  <c:pt idx="6">
                    <c:v>4 tenants</c:v>
                  </c:pt>
                  <c:pt idx="7">
                    <c:v>5 tenants</c:v>
                  </c:pt>
                </c:lvl>
                <c:lvl>
                  <c:pt idx="0">
                    <c:v>Mixed</c:v>
                  </c:pt>
                  <c:pt idx="4">
                    <c:v>All 2:32</c:v>
                  </c:pt>
                </c:lvl>
              </c:multiLvlStrCache>
            </c:multiLvlStrRef>
          </c:cat>
          <c:val>
            <c:numRef>
              <c:f>'MT Interference'!$G$2:$G$9</c:f>
              <c:numCache>
                <c:formatCode>General</c:formatCode>
                <c:ptCount val="8"/>
                <c:pt idx="3">
                  <c:v>-0.28000000000000003</c:v>
                </c:pt>
                <c:pt idx="7">
                  <c:v>-0.01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1-4711-B055-EE19D4F71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771577632"/>
        <c:axId val="970475984"/>
      </c:barChart>
      <c:catAx>
        <c:axId val="177157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Workload and tenants running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970475984"/>
        <c:crosses val="autoZero"/>
        <c:auto val="1"/>
        <c:lblAlgn val="ctr"/>
        <c:lblOffset val="100"/>
        <c:noMultiLvlLbl val="0"/>
      </c:catAx>
      <c:valAx>
        <c:axId val="970475984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Slowdown vs running alone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77157763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Aggregate throughput vs tenants running (5-tenant bitstream, 329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Mixed modes, measured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'MT Throughput'!$A$2:$A$6</c:f>
              <c:strCache>
                <c:ptCount val="5"/>
                <c:pt idx="0">
                  <c:v>1 tenant</c:v>
                </c:pt>
                <c:pt idx="1">
                  <c:v>2 tenants</c:v>
                </c:pt>
                <c:pt idx="2">
                  <c:v>3 tenants</c:v>
                </c:pt>
                <c:pt idx="3">
                  <c:v>4 tenants</c:v>
                </c:pt>
                <c:pt idx="4">
                  <c:v>5 tenants</c:v>
                </c:pt>
              </c:strCache>
            </c:strRef>
          </c:cat>
          <c:val>
            <c:numRef>
              <c:f>'MT Throughput'!$B$2:$B$6</c:f>
              <c:numCache>
                <c:formatCode>General</c:formatCode>
                <c:ptCount val="5"/>
                <c:pt idx="0">
                  <c:v>9.8810000000000002</c:v>
                </c:pt>
                <c:pt idx="1">
                  <c:v>19.742999999999999</c:v>
                </c:pt>
                <c:pt idx="2">
                  <c:v>29.350999999999999</c:v>
                </c:pt>
                <c:pt idx="3">
                  <c:v>39.195999999999998</c:v>
                </c:pt>
                <c:pt idx="4">
                  <c:v>48.542999999999999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3-4C59-B79E-8227109B63F4}"/>
            </c:ext>
          </c:extLst>
        </c:ser>
        <c:ser>
          <c:idx val="1"/>
          <c:order val="1"/>
          <c:tx>
            <c:v>Every tenant at 2:32, measured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'MT Throughput'!$A$2:$A$6</c:f>
              <c:strCache>
                <c:ptCount val="5"/>
                <c:pt idx="0">
                  <c:v>1 tenant</c:v>
                </c:pt>
                <c:pt idx="1">
                  <c:v>2 tenants</c:v>
                </c:pt>
                <c:pt idx="2">
                  <c:v>3 tenants</c:v>
                </c:pt>
                <c:pt idx="3">
                  <c:v>4 tenants</c:v>
                </c:pt>
                <c:pt idx="4">
                  <c:v>5 tenants</c:v>
                </c:pt>
              </c:strCache>
            </c:strRef>
          </c:cat>
          <c:val>
            <c:numRef>
              <c:f>'MT Throughput'!$C$2:$C$6</c:f>
              <c:numCache>
                <c:formatCode>General</c:formatCode>
                <c:ptCount val="5"/>
                <c:pt idx="0">
                  <c:v>9.7289999999999992</c:v>
                </c:pt>
                <c:pt idx="1">
                  <c:v>19.13</c:v>
                </c:pt>
                <c:pt idx="2">
                  <c:v>28.937999999999999</c:v>
                </c:pt>
                <c:pt idx="3">
                  <c:v>37.706000000000003</c:v>
                </c:pt>
                <c:pt idx="4">
                  <c:v>47.209000000000003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3-4C59-B79E-8227109B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771552112"/>
        <c:axId val="970445744"/>
      </c:barChart>
      <c:lineChart>
        <c:grouping val="standard"/>
        <c:varyColors val="0"/>
        <c:ser>
          <c:idx val="2"/>
          <c:order val="2"/>
          <c:tx>
            <c:v>Perfect linear scaling</c:v>
          </c:tx>
          <c:spPr>
            <a:ln w="28575" cap="rnd">
              <a:solidFill>
                <a:srgbClr val="40404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404040"/>
              </a:solidFill>
              <a:ln w="9525">
                <a:solidFill>
                  <a:srgbClr val="404040"/>
                </a:solidFill>
                <a:prstDash val="solid"/>
              </a:ln>
              <a:effectLst/>
            </c:spPr>
          </c:marker>
          <c:cat>
            <c:strRef>
              <c:f>'MT Throughput'!$A$2:$A$6</c:f>
              <c:strCache>
                <c:ptCount val="5"/>
                <c:pt idx="0">
                  <c:v>1 tenant</c:v>
                </c:pt>
                <c:pt idx="1">
                  <c:v>2 tenants</c:v>
                </c:pt>
                <c:pt idx="2">
                  <c:v>3 tenants</c:v>
                </c:pt>
                <c:pt idx="3">
                  <c:v>4 tenants</c:v>
                </c:pt>
                <c:pt idx="4">
                  <c:v>5 tenants</c:v>
                </c:pt>
              </c:strCache>
            </c:strRef>
          </c:cat>
          <c:val>
            <c:numRef>
              <c:f>'MT Throughput'!$D$2:$D$6</c:f>
              <c:numCache>
                <c:formatCode>General</c:formatCode>
                <c:ptCount val="5"/>
                <c:pt idx="0">
                  <c:v>9.8810000000000002</c:v>
                </c:pt>
                <c:pt idx="1">
                  <c:v>19.762</c:v>
                </c:pt>
                <c:pt idx="2">
                  <c:v>29.643000000000001</c:v>
                </c:pt>
                <c:pt idx="3">
                  <c:v>39.524000000000001</c:v>
                </c:pt>
                <c:pt idx="4">
                  <c:v>49.405000000000001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3-4C59-B79E-8227109B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552112"/>
        <c:axId val="970445744"/>
      </c:lineChart>
      <c:catAx>
        <c:axId val="177155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Tenants running on the same bitstream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970445744"/>
        <c:crosses val="autoZero"/>
        <c:auto val="1"/>
        <c:lblAlgn val="ctr"/>
        <c:lblOffset val="100"/>
        <c:noMultiLvlLbl val="0"/>
      </c:catAx>
      <c:valAx>
        <c:axId val="970445744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Aggregate throughput (GMAC/s, actual MACs)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7715521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per MAC vs tenants running: the idle power is shared (5-tenant bitstream, 329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Static (idle power)</c:v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multiLvlStrRef>
              <c:f>'MT Energy'!$A$2:$B$11</c:f>
              <c:multiLvlStrCache>
                <c:ptCount val="10"/>
                <c:lvl>
                  <c:pt idx="0">
                    <c:v>1 tenant</c:v>
                  </c:pt>
                  <c:pt idx="1">
                    <c:v>2 tenants</c:v>
                  </c:pt>
                  <c:pt idx="2">
                    <c:v>3 tenants</c:v>
                  </c:pt>
                  <c:pt idx="3">
                    <c:v>4 tenants</c:v>
                  </c:pt>
                  <c:pt idx="4">
                    <c:v>5 tenants</c:v>
                  </c:pt>
                  <c:pt idx="5">
                    <c:v>1 tenant</c:v>
                  </c:pt>
                  <c:pt idx="6">
                    <c:v>2 tenants</c:v>
                  </c:pt>
                  <c:pt idx="7">
                    <c:v>3 tenants</c:v>
                  </c:pt>
                  <c:pt idx="8">
                    <c:v>4 tenants</c:v>
                  </c:pt>
                  <c:pt idx="9">
                    <c:v>5 tenants</c:v>
                  </c:pt>
                </c:lvl>
                <c:lvl>
                  <c:pt idx="0">
                    <c:v>Mixed</c:v>
                  </c:pt>
                  <c:pt idx="5">
                    <c:v>All 2:32</c:v>
                  </c:pt>
                </c:lvl>
              </c:multiLvlStrCache>
            </c:multiLvlStrRef>
          </c:cat>
          <c:val>
            <c:numRef>
              <c:f>'MT Energy'!$C$2:$C$11</c:f>
              <c:numCache>
                <c:formatCode>General</c:formatCode>
                <c:ptCount val="10"/>
                <c:pt idx="0">
                  <c:v>3.4154</c:v>
                </c:pt>
                <c:pt idx="1">
                  <c:v>1.7124999999999999</c:v>
                </c:pt>
                <c:pt idx="2">
                  <c:v>1.1516999999999999</c:v>
                </c:pt>
                <c:pt idx="3">
                  <c:v>0.86409999999999998</c:v>
                </c:pt>
                <c:pt idx="4">
                  <c:v>0.6956</c:v>
                </c:pt>
                <c:pt idx="5">
                  <c:v>3.4537</c:v>
                </c:pt>
                <c:pt idx="6">
                  <c:v>1.7479</c:v>
                </c:pt>
                <c:pt idx="7">
                  <c:v>1.1588000000000001</c:v>
                </c:pt>
                <c:pt idx="8">
                  <c:v>0.88739999999999997</c:v>
                </c:pt>
                <c:pt idx="9">
                  <c:v>0.71230000000000004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1-4ACF-996D-13BB2EF651C9}"/>
            </c:ext>
          </c:extLst>
        </c:ser>
        <c:ser>
          <c:idx val="1"/>
          <c:order val="1"/>
          <c:tx>
            <c:v>Dynamic</c:v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multiLvlStrRef>
              <c:f>'MT Energy'!$A$2:$B$11</c:f>
              <c:multiLvlStrCache>
                <c:ptCount val="10"/>
                <c:lvl>
                  <c:pt idx="0">
                    <c:v>1 tenant</c:v>
                  </c:pt>
                  <c:pt idx="1">
                    <c:v>2 tenants</c:v>
                  </c:pt>
                  <c:pt idx="2">
                    <c:v>3 tenants</c:v>
                  </c:pt>
                  <c:pt idx="3">
                    <c:v>4 tenants</c:v>
                  </c:pt>
                  <c:pt idx="4">
                    <c:v>5 tenants</c:v>
                  </c:pt>
                  <c:pt idx="5">
                    <c:v>1 tenant</c:v>
                  </c:pt>
                  <c:pt idx="6">
                    <c:v>2 tenants</c:v>
                  </c:pt>
                  <c:pt idx="7">
                    <c:v>3 tenants</c:v>
                  </c:pt>
                  <c:pt idx="8">
                    <c:v>4 tenants</c:v>
                  </c:pt>
                  <c:pt idx="9">
                    <c:v>5 tenants</c:v>
                  </c:pt>
                </c:lvl>
                <c:lvl>
                  <c:pt idx="0">
                    <c:v>Mixed</c:v>
                  </c:pt>
                  <c:pt idx="5">
                    <c:v>All 2:32</c:v>
                  </c:pt>
                </c:lvl>
              </c:multiLvlStrCache>
            </c:multiLvlStrRef>
          </c:cat>
          <c:val>
            <c:numRef>
              <c:f>'MT Energy'!$D$2:$D$11</c:f>
              <c:numCache>
                <c:formatCode>General</c:formatCode>
                <c:ptCount val="10"/>
                <c:pt idx="0">
                  <c:v>0.1598</c:v>
                </c:pt>
                <c:pt idx="1">
                  <c:v>0.16189999999999999</c:v>
                </c:pt>
                <c:pt idx="2">
                  <c:v>0.1661</c:v>
                </c:pt>
                <c:pt idx="3">
                  <c:v>0.1646</c:v>
                </c:pt>
                <c:pt idx="4">
                  <c:v>0.1734</c:v>
                </c:pt>
                <c:pt idx="5">
                  <c:v>0.17380000000000001</c:v>
                </c:pt>
                <c:pt idx="6">
                  <c:v>0.1741</c:v>
                </c:pt>
                <c:pt idx="7">
                  <c:v>0.17130000000000001</c:v>
                </c:pt>
                <c:pt idx="8">
                  <c:v>0.17560000000000001</c:v>
                </c:pt>
                <c:pt idx="9">
                  <c:v>0.1784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1-4ACF-996D-13BB2EF65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71533552"/>
        <c:axId val="970551344"/>
      </c:barChart>
      <c:catAx>
        <c:axId val="1771533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Workload and tenants running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970551344"/>
        <c:crosses val="autoZero"/>
        <c:auto val="1"/>
        <c:lblAlgn val="ctr"/>
        <c:lblOffset val="100"/>
        <c:noMultiLvlLbl val="0"/>
      </c:catAx>
      <c:valAx>
        <c:axId val="970551344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Energy per actual MAC (nJ)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77153355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Four 4x4 tenants relative to one 4x24 engine on the same 24 HBM channels (4x24 = 1.0)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4 x 4x4 tenants / one 4x24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.00&quot;x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C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'Scale-out vs Scale-up'!$A$2:$A$7</c:f>
              <c:strCache>
                <c:ptCount val="6"/>
                <c:pt idx="0">
                  <c:v>HBM channels</c:v>
                </c:pt>
                <c:pt idx="1">
                  <c:v>Kernel clock</c:v>
                </c:pt>
                <c:pt idx="2">
                  <c:v>MACs per cycle</c:v>
                </c:pt>
                <c:pt idx="3">
                  <c:v>Throughput</c:v>
                </c:pt>
                <c:pt idx="4">
                  <c:v>Board power</c:v>
                </c:pt>
                <c:pt idx="5">
                  <c:v>Energy per MAC</c:v>
                </c:pt>
              </c:strCache>
            </c:strRef>
          </c:cat>
          <c:val>
            <c:numRef>
              <c:f>'Scale-out vs Scale-up'!$B$2:$B$7</c:f>
              <c:numCache>
                <c:formatCode>General</c:formatCode>
                <c:ptCount val="6"/>
                <c:pt idx="0">
                  <c:v>1</c:v>
                </c:pt>
                <c:pt idx="1">
                  <c:v>1.2466999999999999</c:v>
                </c:pt>
                <c:pt idx="2">
                  <c:v>0.66669999999999996</c:v>
                </c:pt>
                <c:pt idx="3">
                  <c:v>0.8306</c:v>
                </c:pt>
                <c:pt idx="4">
                  <c:v>0.99790000000000001</c:v>
                </c:pt>
                <c:pt idx="5">
                  <c:v>1.2014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1-4263-8DC7-83B4000BF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71578560"/>
        <c:axId val="970484144"/>
      </c:barChart>
      <c:catAx>
        <c:axId val="1771578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970484144"/>
        <c:crossesAt val="1"/>
        <c:auto val="1"/>
        <c:lblAlgn val="ctr"/>
        <c:lblOffset val="100"/>
        <c:noMultiLvlLbl val="0"/>
      </c:catAx>
      <c:valAx>
        <c:axId val="970484144"/>
        <c:scaling>
          <c:orientation val="minMax"/>
          <c:max val="1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Ratio, 4 x 4x4 / one 4x24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771578560"/>
        <c:crosses val="max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Idle board power of every build vs the HBM channels it uses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FPGA core rail (VCCINT)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'Idle vs Channels'!$A$2:$A$14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'Idle vs Channels'!$B$2:$B$14</c:f>
              <c:numCache>
                <c:formatCode>General</c:formatCode>
                <c:ptCount val="13"/>
                <c:pt idx="0">
                  <c:v>6.048</c:v>
                </c:pt>
                <c:pt idx="1">
                  <c:v>6.56</c:v>
                </c:pt>
                <c:pt idx="2">
                  <c:v>6.6550000000000002</c:v>
                </c:pt>
                <c:pt idx="3">
                  <c:v>7.1390000000000002</c:v>
                </c:pt>
                <c:pt idx="4">
                  <c:v>7.5279999999999996</c:v>
                </c:pt>
                <c:pt idx="5">
                  <c:v>7.5140000000000002</c:v>
                </c:pt>
                <c:pt idx="6">
                  <c:v>7.7160000000000002</c:v>
                </c:pt>
                <c:pt idx="7">
                  <c:v>8.2870000000000008</c:v>
                </c:pt>
                <c:pt idx="8">
                  <c:v>8.3650000000000002</c:v>
                </c:pt>
                <c:pt idx="9">
                  <c:v>9.048</c:v>
                </c:pt>
                <c:pt idx="10">
                  <c:v>8.64</c:v>
                </c:pt>
                <c:pt idx="11">
                  <c:v>8.8770000000000007</c:v>
                </c:pt>
                <c:pt idx="12">
                  <c:v>8.6120000000000001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3-484E-8785-30BCE8D9ACCD}"/>
            </c:ext>
          </c:extLst>
        </c:ser>
        <c:ser>
          <c:idx val="1"/>
          <c:order val="1"/>
          <c:tx>
            <c:v>Rest of the board (HBM, other rails, regulator losses)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'Idle vs Channels'!$A$2:$A$14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'Idle vs Channels'!$C$2:$C$14</c:f>
              <c:numCache>
                <c:formatCode>General</c:formatCode>
                <c:ptCount val="13"/>
                <c:pt idx="0">
                  <c:v>19.395</c:v>
                </c:pt>
                <c:pt idx="1">
                  <c:v>20.091000000000001</c:v>
                </c:pt>
                <c:pt idx="2">
                  <c:v>20.108000000000001</c:v>
                </c:pt>
                <c:pt idx="3">
                  <c:v>20.448</c:v>
                </c:pt>
                <c:pt idx="4">
                  <c:v>23.309000000000001</c:v>
                </c:pt>
                <c:pt idx="5">
                  <c:v>23.353000000000002</c:v>
                </c:pt>
                <c:pt idx="6">
                  <c:v>23.669</c:v>
                </c:pt>
                <c:pt idx="7">
                  <c:v>24.259</c:v>
                </c:pt>
                <c:pt idx="8">
                  <c:v>24.416</c:v>
                </c:pt>
                <c:pt idx="9">
                  <c:v>25.084</c:v>
                </c:pt>
                <c:pt idx="10">
                  <c:v>25.024999999999999</c:v>
                </c:pt>
                <c:pt idx="11">
                  <c:v>25.183</c:v>
                </c:pt>
                <c:pt idx="12">
                  <c:v>25.039000000000001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3-484E-8785-30BCE8D9A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71511280"/>
        <c:axId val="970466864"/>
      </c:barChart>
      <c:catAx>
        <c:axId val="1771511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Build (HBM channels in use)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970466864"/>
        <c:crosses val="autoZero"/>
        <c:auto val="1"/>
        <c:lblAlgn val="ctr"/>
        <c:lblOffset val="100"/>
        <c:noMultiLvlLbl val="0"/>
      </c:catAx>
      <c:valAx>
        <c:axId val="970466864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Idle board power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77151128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Throughput of every build at full occupancy (steady state, each at its own clock)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C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Configurations!$B$2:$B$14</c:f>
              <c:numCache>
                <c:formatCode>General</c:formatCode>
                <c:ptCount val="13"/>
                <c:pt idx="0">
                  <c:v>12.615</c:v>
                </c:pt>
                <c:pt idx="1">
                  <c:v>23.715</c:v>
                </c:pt>
                <c:pt idx="3">
                  <c:v>33.1</c:v>
                </c:pt>
                <c:pt idx="4">
                  <c:v>41.125</c:v>
                </c:pt>
                <c:pt idx="7">
                  <c:v>57.024999999999999</c:v>
                </c:pt>
                <c:pt idx="12">
                  <c:v>63.634999999999998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9-4CDB-9B34-CF77BBEF3321}"/>
            </c:ext>
          </c:extLst>
        </c:ser>
        <c:ser>
          <c:idx val="1"/>
          <c:order val="1"/>
          <c:tx>
            <c:v>Multi-tenant (N x engine)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C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Configurations!$C$2:$C$14</c:f>
              <c:numCache>
                <c:formatCode>General</c:formatCode>
                <c:ptCount val="13"/>
                <c:pt idx="2">
                  <c:v>24.997</c:v>
                </c:pt>
                <c:pt idx="5">
                  <c:v>37.914999999999999</c:v>
                </c:pt>
                <c:pt idx="6">
                  <c:v>45.591000000000001</c:v>
                </c:pt>
                <c:pt idx="8">
                  <c:v>47.37</c:v>
                </c:pt>
                <c:pt idx="9">
                  <c:v>64.641999999999996</c:v>
                </c:pt>
                <c:pt idx="10">
                  <c:v>51.718000000000004</c:v>
                </c:pt>
                <c:pt idx="11">
                  <c:v>66.795000000000002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59-4CDB-9B34-CF77BBEF3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95300864"/>
        <c:axId val="2020664752"/>
      </c:barChart>
      <c:catAx>
        <c:axId val="179530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Build (HBM channels in use)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020664752"/>
        <c:crosses val="autoZero"/>
        <c:auto val="1"/>
        <c:lblAlgn val="ctr"/>
        <c:lblOffset val="100"/>
        <c:noMultiLvlLbl val="0"/>
      </c:catAx>
      <c:valAx>
        <c:axId val="2020664752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Throughput (GMAC/s, actual MACs)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179530086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per MAC of every build at full occupancy: static vs dynamic (steady state)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Single engine, static</c:v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Configurations!$D$2:$D$14</c:f>
              <c:numCache>
                <c:formatCode>General</c:formatCode>
                <c:ptCount val="13"/>
                <c:pt idx="0">
                  <c:v>1.9997</c:v>
                </c:pt>
                <c:pt idx="1">
                  <c:v>1.1235999999999999</c:v>
                </c:pt>
                <c:pt idx="3">
                  <c:v>0.83079999999999998</c:v>
                </c:pt>
                <c:pt idx="4">
                  <c:v>0.751</c:v>
                </c:pt>
                <c:pt idx="7">
                  <c:v>0.57230000000000003</c:v>
                </c:pt>
                <c:pt idx="12">
                  <c:v>0.52939999999999998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B-446D-96E8-F01A39380565}"/>
            </c:ext>
          </c:extLst>
        </c:ser>
        <c:ser>
          <c:idx val="1"/>
          <c:order val="1"/>
          <c:tx>
            <c:v>Single engine, dynamic</c:v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Configurations!$E$2:$E$14</c:f>
              <c:numCache>
                <c:formatCode>General</c:formatCode>
                <c:ptCount val="13"/>
                <c:pt idx="0">
                  <c:v>0.16689999999999999</c:v>
                </c:pt>
                <c:pt idx="1">
                  <c:v>0.13250000000000001</c:v>
                </c:pt>
                <c:pt idx="3">
                  <c:v>0.14299999999999999</c:v>
                </c:pt>
                <c:pt idx="4">
                  <c:v>0.13139999999999999</c:v>
                </c:pt>
                <c:pt idx="7">
                  <c:v>0.13669999999999999</c:v>
                </c:pt>
                <c:pt idx="12">
                  <c:v>0.13489999999999999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B-446D-96E8-F01A39380565}"/>
            </c:ext>
          </c:extLst>
        </c:ser>
        <c:ser>
          <c:idx val="2"/>
          <c:order val="2"/>
          <c:tx>
            <c:v>Multi-tenant, static</c:v>
          </c:tx>
          <c:spPr>
            <a:solidFill>
              <a:srgbClr val="A8440F"/>
            </a:solidFill>
            <a:ln>
              <a:noFill/>
            </a:ln>
            <a:effectLst/>
          </c:spPr>
          <c:invertIfNegative val="0"/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Configurations!$F$2:$F$14</c:f>
              <c:numCache>
                <c:formatCode>General</c:formatCode>
                <c:ptCount val="13"/>
                <c:pt idx="2">
                  <c:v>1.0717000000000001</c:v>
                </c:pt>
                <c:pt idx="5">
                  <c:v>0.81659999999999999</c:v>
                </c:pt>
                <c:pt idx="6">
                  <c:v>0.68959999999999999</c:v>
                </c:pt>
                <c:pt idx="8">
                  <c:v>0.69750000000000001</c:v>
                </c:pt>
                <c:pt idx="9">
                  <c:v>0.53180000000000005</c:v>
                </c:pt>
                <c:pt idx="10">
                  <c:v>0.65290000000000004</c:v>
                </c:pt>
                <c:pt idx="11">
                  <c:v>0.51060000000000005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B-446D-96E8-F01A39380565}"/>
            </c:ext>
          </c:extLst>
        </c:ser>
        <c:ser>
          <c:idx val="3"/>
          <c:order val="3"/>
          <c:tx>
            <c:v>Multi-tenant, dynamic</c:v>
          </c:tx>
          <c:spPr>
            <a:solidFill>
              <a:srgbClr val="F5A97F"/>
            </a:solidFill>
            <a:ln>
              <a:noFill/>
            </a:ln>
            <a:effectLst/>
          </c:spPr>
          <c:invertIfNegative val="0"/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Configurations!$G$2:$G$14</c:f>
              <c:numCache>
                <c:formatCode>General</c:formatCode>
                <c:ptCount val="13"/>
                <c:pt idx="2">
                  <c:v>0.15820000000000001</c:v>
                </c:pt>
                <c:pt idx="5">
                  <c:v>0.16400000000000001</c:v>
                </c:pt>
                <c:pt idx="6">
                  <c:v>0.14899999999999999</c:v>
                </c:pt>
                <c:pt idx="8">
                  <c:v>0.1542</c:v>
                </c:pt>
                <c:pt idx="9">
                  <c:v>0.12520000000000001</c:v>
                </c:pt>
                <c:pt idx="10">
                  <c:v>0.1628</c:v>
                </c:pt>
                <c:pt idx="11">
                  <c:v>0.1409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2B-446D-96E8-F01A39380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4905248"/>
        <c:axId val="2020680112"/>
      </c:barChart>
      <c:catAx>
        <c:axId val="52490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Build (HBM channels in use)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020680112"/>
        <c:crosses val="autoZero"/>
        <c:auto val="1"/>
        <c:lblAlgn val="ctr"/>
        <c:lblOffset val="100"/>
        <c:noMultiLvlLbl val="0"/>
      </c:catAx>
      <c:valAx>
        <c:axId val="2020680112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Energy per MAC (nJ)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52490524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Runtime clock of every build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C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Configurations!$H$2:$H$14</c:f>
              <c:numCache>
                <c:formatCode>General</c:formatCode>
                <c:ptCount val="13"/>
                <c:pt idx="0">
                  <c:v>400</c:v>
                </c:pt>
                <c:pt idx="1">
                  <c:v>375</c:v>
                </c:pt>
                <c:pt idx="3">
                  <c:v>350</c:v>
                </c:pt>
                <c:pt idx="4">
                  <c:v>325</c:v>
                </c:pt>
                <c:pt idx="7">
                  <c:v>300</c:v>
                </c:pt>
                <c:pt idx="1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3-461E-B2B6-E24A36DA3DE8}"/>
            </c:ext>
          </c:extLst>
        </c:ser>
        <c:ser>
          <c:idx val="1"/>
          <c:order val="1"/>
          <c:tx>
            <c:v>Multi-tenant (N x engine)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C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Configurations!$I$2:$I$14</c:f>
              <c:numCache>
                <c:formatCode>General</c:formatCode>
                <c:ptCount val="13"/>
                <c:pt idx="2">
                  <c:v>394</c:v>
                </c:pt>
                <c:pt idx="5">
                  <c:v>399</c:v>
                </c:pt>
                <c:pt idx="6">
                  <c:v>361</c:v>
                </c:pt>
                <c:pt idx="8">
                  <c:v>374</c:v>
                </c:pt>
                <c:pt idx="9">
                  <c:v>341</c:v>
                </c:pt>
                <c:pt idx="10">
                  <c:v>329</c:v>
                </c:pt>
                <c:pt idx="11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3-461E-B2B6-E24A36DA3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4977632"/>
        <c:axId val="2020712752"/>
      </c:barChart>
      <c:catAx>
        <c:axId val="52497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Build (HBM channels in use)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020712752"/>
        <c:crosses val="autoZero"/>
        <c:auto val="1"/>
        <c:lblAlgn val="ctr"/>
        <c:lblOffset val="100"/>
        <c:noMultiLvlLbl val="0"/>
      </c:catAx>
      <c:valAx>
        <c:axId val="2020712752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Kernel clock (MHz)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524977632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Throughput per HBM channel of every build (steady state)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C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Configurations!$J$2:$J$14</c:f>
              <c:numCache>
                <c:formatCode>General</c:formatCode>
                <c:ptCount val="13"/>
                <c:pt idx="0">
                  <c:v>2.1025</c:v>
                </c:pt>
                <c:pt idx="1">
                  <c:v>2.3715000000000002</c:v>
                </c:pt>
                <c:pt idx="3">
                  <c:v>2.5461999999999998</c:v>
                </c:pt>
                <c:pt idx="4">
                  <c:v>2.4190999999999998</c:v>
                </c:pt>
                <c:pt idx="7">
                  <c:v>2.3759999999999999</c:v>
                </c:pt>
                <c:pt idx="12">
                  <c:v>1.9885999999999999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B-4D02-BF77-A6C809228FFA}"/>
            </c:ext>
          </c:extLst>
        </c:ser>
        <c:ser>
          <c:idx val="1"/>
          <c:order val="1"/>
          <c:tx>
            <c:v>Multi-tenant (N x engine)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404040"/>
                    </a:solidFill>
                    <a:latin typeface="Calibri"/>
                    <a:ea typeface="Calibri"/>
                    <a:cs typeface="Calibri"/>
                  </a:defRPr>
                </a:pPr>
                <a:endParaRPr lang="en-C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Configurations!$A$2:$A$14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Configurations!$K$2:$K$14</c:f>
              <c:numCache>
                <c:formatCode>General</c:formatCode>
                <c:ptCount val="13"/>
                <c:pt idx="2">
                  <c:v>2.0831</c:v>
                </c:pt>
                <c:pt idx="5">
                  <c:v>2.1063999999999998</c:v>
                </c:pt>
                <c:pt idx="6">
                  <c:v>2.2795000000000001</c:v>
                </c:pt>
                <c:pt idx="8">
                  <c:v>1.9738</c:v>
                </c:pt>
                <c:pt idx="9">
                  <c:v>2.4862000000000002</c:v>
                </c:pt>
                <c:pt idx="10">
                  <c:v>1.7239</c:v>
                </c:pt>
                <c:pt idx="11">
                  <c:v>2.2265000000000001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B-4D02-BF77-A6C809228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4984128"/>
        <c:axId val="2020626832"/>
      </c:barChart>
      <c:catAx>
        <c:axId val="52498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Build (HBM channels in use)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020626832"/>
        <c:crosses val="autoZero"/>
        <c:auto val="1"/>
        <c:lblAlgn val="ctr"/>
        <c:lblOffset val="100"/>
        <c:noMultiLvlLbl val="0"/>
      </c:catAx>
      <c:valAx>
        <c:axId val="2020626832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GMAC/s per HBM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52498412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Time for one pass of the whole workload: engine vs launch overhead (each build at its own clock)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Single engine, engine time</c:v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Workload!$B$2:$B$14</c:f>
              <c:numCache>
                <c:formatCode>General</c:formatCode>
                <c:ptCount val="13"/>
                <c:pt idx="0">
                  <c:v>15.555999999999999</c:v>
                </c:pt>
                <c:pt idx="1">
                  <c:v>8.2750000000000004</c:v>
                </c:pt>
                <c:pt idx="3">
                  <c:v>5.9740000000000002</c:v>
                </c:pt>
                <c:pt idx="4">
                  <c:v>4.7709999999999999</c:v>
                </c:pt>
                <c:pt idx="7">
                  <c:v>3.4980000000000002</c:v>
                </c:pt>
                <c:pt idx="12">
                  <c:v>3.0840000000000001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F-4505-9418-7C9C9006625A}"/>
            </c:ext>
          </c:extLst>
        </c:ser>
        <c:ser>
          <c:idx val="1"/>
          <c:order val="1"/>
          <c:tx>
            <c:v>Single engine, launch overhead</c:v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Workload!$C$2:$C$14</c:f>
              <c:numCache>
                <c:formatCode>General</c:formatCode>
                <c:ptCount val="13"/>
                <c:pt idx="0">
                  <c:v>1.6619999999999999</c:v>
                </c:pt>
                <c:pt idx="1">
                  <c:v>2.339</c:v>
                </c:pt>
                <c:pt idx="3">
                  <c:v>2.6930000000000001</c:v>
                </c:pt>
                <c:pt idx="4">
                  <c:v>3.4470000000000001</c:v>
                </c:pt>
                <c:pt idx="7">
                  <c:v>4.7290000000000001</c:v>
                </c:pt>
                <c:pt idx="12">
                  <c:v>6.5650000000000004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F-4505-9418-7C9C9006625A}"/>
            </c:ext>
          </c:extLst>
        </c:ser>
        <c:ser>
          <c:idx val="2"/>
          <c:order val="2"/>
          <c:tx>
            <c:v>Multi-tenant, engine time</c:v>
          </c:tx>
          <c:spPr>
            <a:solidFill>
              <a:srgbClr val="A8440F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Workload!$D$2:$D$14</c:f>
              <c:numCache>
                <c:formatCode>General</c:formatCode>
                <c:ptCount val="13"/>
                <c:pt idx="2">
                  <c:v>7.85</c:v>
                </c:pt>
                <c:pt idx="5">
                  <c:v>5.1749999999999998</c:v>
                </c:pt>
                <c:pt idx="6">
                  <c:v>4.3040000000000003</c:v>
                </c:pt>
                <c:pt idx="8">
                  <c:v>4.1429999999999998</c:v>
                </c:pt>
                <c:pt idx="9">
                  <c:v>3.0590000000000002</c:v>
                </c:pt>
                <c:pt idx="10">
                  <c:v>3.794</c:v>
                </c:pt>
                <c:pt idx="11">
                  <c:v>2.9380000000000002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BF-4505-9418-7C9C9006625A}"/>
            </c:ext>
          </c:extLst>
        </c:ser>
        <c:ser>
          <c:idx val="3"/>
          <c:order val="3"/>
          <c:tx>
            <c:v>Multi-tenant, launch overhead</c:v>
          </c:tx>
          <c:spPr>
            <a:solidFill>
              <a:srgbClr val="F5A97F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Workload!$E$2:$E$14</c:f>
              <c:numCache>
                <c:formatCode>General</c:formatCode>
                <c:ptCount val="13"/>
                <c:pt idx="2">
                  <c:v>1.82</c:v>
                </c:pt>
                <c:pt idx="5">
                  <c:v>2.64</c:v>
                </c:pt>
                <c:pt idx="6">
                  <c:v>2.7250000000000001</c:v>
                </c:pt>
                <c:pt idx="8">
                  <c:v>2.6739999999999999</c:v>
                </c:pt>
                <c:pt idx="9">
                  <c:v>3.7109999999999999</c:v>
                </c:pt>
                <c:pt idx="10">
                  <c:v>3.0830000000000002</c:v>
                </c:pt>
                <c:pt idx="11">
                  <c:v>4.0970000000000004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BF-4505-9418-7C9C90066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2620863"/>
        <c:axId val="247949007"/>
      </c:barChart>
      <c:catAx>
        <c:axId val="262620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Build (HBM channels in use)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47949007"/>
        <c:crosses val="autoZero"/>
        <c:auto val="1"/>
        <c:lblAlgn val="ctr"/>
        <c:lblOffset val="100"/>
        <c:noMultiLvlLbl val="0"/>
      </c:catAx>
      <c:valAx>
        <c:axId val="2479490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Time per pass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6262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for one pass of the whole workload: static vs dynamic (measured)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Single engine, static</c:v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Workload!$F$2:$F$14</c:f>
              <c:numCache>
                <c:formatCode>General</c:formatCode>
                <c:ptCount val="13"/>
                <c:pt idx="0">
                  <c:v>439.27</c:v>
                </c:pt>
                <c:pt idx="1">
                  <c:v>280.72000000000003</c:v>
                </c:pt>
                <c:pt idx="3">
                  <c:v>235.92</c:v>
                </c:pt>
                <c:pt idx="4">
                  <c:v>249.96</c:v>
                </c:pt>
                <c:pt idx="7">
                  <c:v>264.93</c:v>
                </c:pt>
                <c:pt idx="12">
                  <c:v>319.37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9-4ED7-A6C7-CA083C85D7F7}"/>
            </c:ext>
          </c:extLst>
        </c:ser>
        <c:ser>
          <c:idx val="1"/>
          <c:order val="1"/>
          <c:tx>
            <c:v>Single engine, dynamic</c:v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Workload!$G$2:$G$14</c:f>
              <c:numCache>
                <c:formatCode>General</c:formatCode>
                <c:ptCount val="13"/>
                <c:pt idx="0">
                  <c:v>27.46</c:v>
                </c:pt>
                <c:pt idx="1">
                  <c:v>34.24</c:v>
                </c:pt>
                <c:pt idx="3">
                  <c:v>24.54</c:v>
                </c:pt>
                <c:pt idx="4">
                  <c:v>33.229999999999997</c:v>
                </c:pt>
                <c:pt idx="7">
                  <c:v>19.690000000000001</c:v>
                </c:pt>
                <c:pt idx="12">
                  <c:v>22.88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9-4ED7-A6C7-CA083C85D7F7}"/>
            </c:ext>
          </c:extLst>
        </c:ser>
        <c:ser>
          <c:idx val="2"/>
          <c:order val="2"/>
          <c:tx>
            <c:v>Multi-tenant, static</c:v>
          </c:tx>
          <c:spPr>
            <a:solidFill>
              <a:srgbClr val="A8440F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Workload!$H$2:$H$14</c:f>
              <c:numCache>
                <c:formatCode>General</c:formatCode>
                <c:ptCount val="13"/>
                <c:pt idx="2">
                  <c:v>258.91000000000003</c:v>
                </c:pt>
                <c:pt idx="5">
                  <c:v>243.5</c:v>
                </c:pt>
                <c:pt idx="6">
                  <c:v>224.87</c:v>
                </c:pt>
                <c:pt idx="8">
                  <c:v>222.67</c:v>
                </c:pt>
                <c:pt idx="9">
                  <c:v>229.4</c:v>
                </c:pt>
                <c:pt idx="10">
                  <c:v>232.29</c:v>
                </c:pt>
                <c:pt idx="11">
                  <c:v>242.75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9-4ED7-A6C7-CA083C85D7F7}"/>
            </c:ext>
          </c:extLst>
        </c:ser>
        <c:ser>
          <c:idx val="3"/>
          <c:order val="3"/>
          <c:tx>
            <c:v>Multi-tenant, dynamic</c:v>
          </c:tx>
          <c:spPr>
            <a:solidFill>
              <a:srgbClr val="F5A97F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Workload!$I$2:$I$14</c:f>
              <c:numCache>
                <c:formatCode>General</c:formatCode>
                <c:ptCount val="13"/>
                <c:pt idx="2">
                  <c:v>33</c:v>
                </c:pt>
                <c:pt idx="5">
                  <c:v>32.340000000000003</c:v>
                </c:pt>
                <c:pt idx="6">
                  <c:v>30.45</c:v>
                </c:pt>
                <c:pt idx="8">
                  <c:v>28.95</c:v>
                </c:pt>
                <c:pt idx="9">
                  <c:v>30.94</c:v>
                </c:pt>
                <c:pt idx="10">
                  <c:v>31.47</c:v>
                </c:pt>
                <c:pt idx="11">
                  <c:v>32.450000000000003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19-4ED7-A6C7-CA083C85D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2671903"/>
        <c:axId val="247946607"/>
      </c:barChart>
      <c:catAx>
        <c:axId val="262671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Build (HBM channels in use)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47946607"/>
        <c:crosses val="autoZero"/>
        <c:auto val="1"/>
        <c:lblAlgn val="ctr"/>
        <c:lblOffset val="100"/>
        <c:noMultiLvlLbl val="0"/>
      </c:catAx>
      <c:valAx>
        <c:axId val="2479466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Energy per pass (mJ)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6267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Throughput over the whole workload, launches included (each build at its own clock)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Workload!$J$2:$J$14</c:f>
              <c:numCache>
                <c:formatCode>General</c:formatCode>
                <c:ptCount val="13"/>
                <c:pt idx="0">
                  <c:v>11.358000000000001</c:v>
                </c:pt>
                <c:pt idx="1">
                  <c:v>18.425999999999998</c:v>
                </c:pt>
                <c:pt idx="3">
                  <c:v>22.564</c:v>
                </c:pt>
                <c:pt idx="4">
                  <c:v>23.795999999999999</c:v>
                </c:pt>
                <c:pt idx="7">
                  <c:v>23.771999999999998</c:v>
                </c:pt>
                <c:pt idx="12">
                  <c:v>20.268999999999998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4-401B-879F-A2C2512A637E}"/>
            </c:ext>
          </c:extLst>
        </c:ser>
        <c:ser>
          <c:idx val="1"/>
          <c:order val="1"/>
          <c:tx>
            <c:v>Multi-tenant (N x engine)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Workload!$K$2:$K$14</c:f>
              <c:numCache>
                <c:formatCode>General</c:formatCode>
                <c:ptCount val="13"/>
                <c:pt idx="2">
                  <c:v>20.222000000000001</c:v>
                </c:pt>
                <c:pt idx="5">
                  <c:v>25.024999999999999</c:v>
                </c:pt>
                <c:pt idx="6">
                  <c:v>27.818999999999999</c:v>
                </c:pt>
                <c:pt idx="8">
                  <c:v>28.689</c:v>
                </c:pt>
                <c:pt idx="9">
                  <c:v>28.888000000000002</c:v>
                </c:pt>
                <c:pt idx="10">
                  <c:v>28.434999999999999</c:v>
                </c:pt>
                <c:pt idx="11">
                  <c:v>27.797999999999998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4-401B-879F-A2C2512A6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2740575"/>
        <c:axId val="247914927"/>
      </c:barChart>
      <c:catAx>
        <c:axId val="26274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Build (HBM channels in use)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47914927"/>
        <c:crosses val="autoZero"/>
        <c:auto val="1"/>
        <c:lblAlgn val="ctr"/>
        <c:lblOffset val="100"/>
        <c:noMultiLvlLbl val="0"/>
      </c:catAx>
      <c:valAx>
        <c:axId val="2479149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Throughput (GMAC/s, useful MACs)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6274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per MAC over the whole workload, launches included (measured)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Workload!$N$2:$N$14</c:f>
              <c:numCache>
                <c:formatCode>General</c:formatCode>
                <c:ptCount val="13"/>
                <c:pt idx="0">
                  <c:v>2.3866000000000001</c:v>
                </c:pt>
                <c:pt idx="1">
                  <c:v>1.6106</c:v>
                </c:pt>
                <c:pt idx="3">
                  <c:v>1.3318000000000001</c:v>
                </c:pt>
                <c:pt idx="4">
                  <c:v>1.4480999999999999</c:v>
                </c:pt>
                <c:pt idx="7">
                  <c:v>1.4553</c:v>
                </c:pt>
                <c:pt idx="12">
                  <c:v>1.7501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2-4567-A67B-6A9FA49F80F4}"/>
            </c:ext>
          </c:extLst>
        </c:ser>
        <c:ser>
          <c:idx val="1"/>
          <c:order val="1"/>
          <c:tx>
            <c:v>Multi-tenant (N x engine)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Workload!$A$2:$A$14</c:f>
              <c:strCache>
                <c:ptCount val="13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8x8 (17 ch)</c:v>
                </c:pt>
                <c:pt idx="5">
                  <c:v>3 x 4x4 (18 ch)</c:v>
                </c:pt>
                <c:pt idx="6">
                  <c:v>2 x 8x4 (20 ch)</c:v>
                </c:pt>
                <c:pt idx="7">
                  <c:v>4x24 (24 ch)</c:v>
                </c:pt>
                <c:pt idx="8">
                  <c:v>4 x 4x4 (24 ch)</c:v>
                </c:pt>
                <c:pt idx="9">
                  <c:v>2 x 16x3 (26 ch)</c:v>
                </c:pt>
                <c:pt idx="10">
                  <c:v>5 x 4x4 (30 ch)</c:v>
                </c:pt>
                <c:pt idx="11">
                  <c:v>3 x 8x4 (30 ch)</c:v>
                </c:pt>
                <c:pt idx="12">
                  <c:v>4x32 (32 ch)</c:v>
                </c:pt>
              </c:strCache>
            </c:strRef>
          </c:cat>
          <c:val>
            <c:numRef>
              <c:f>Workload!$O$2:$O$14</c:f>
              <c:numCache>
                <c:formatCode>General</c:formatCode>
                <c:ptCount val="13"/>
                <c:pt idx="2">
                  <c:v>1.4926999999999999</c:v>
                </c:pt>
                <c:pt idx="5">
                  <c:v>1.4105000000000001</c:v>
                </c:pt>
                <c:pt idx="6">
                  <c:v>1.3056000000000001</c:v>
                </c:pt>
                <c:pt idx="8">
                  <c:v>1.2867</c:v>
                </c:pt>
                <c:pt idx="9">
                  <c:v>1.3311999999999999</c:v>
                </c:pt>
                <c:pt idx="10">
                  <c:v>1.3487</c:v>
                </c:pt>
                <c:pt idx="11">
                  <c:v>1.4072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2-4567-A67B-6A9FA49F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62764703"/>
        <c:axId val="247857327"/>
      </c:barChart>
      <c:catAx>
        <c:axId val="26276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Build (HBM channels in use)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47857327"/>
        <c:crosses val="autoZero"/>
        <c:auto val="1"/>
        <c:lblAlgn val="ctr"/>
        <c:lblOffset val="100"/>
        <c:noMultiLvlLbl val="0"/>
      </c:catAx>
      <c:valAx>
        <c:axId val="24785732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Energy per MAC (nJ)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595959"/>
                  </a:solidFill>
                  <a:latin typeface="Calibri"/>
                  <a:ea typeface="Calibri"/>
                  <a:cs typeface="Calibri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n-CY"/>
          </a:p>
        </c:txPr>
        <c:crossAx val="26276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6" Type="http://schemas.openxmlformats.org/officeDocument/2006/relationships/chart" Target="../charts/chart29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5" Type="http://schemas.openxmlformats.org/officeDocument/2006/relationships/chart" Target="../charts/chart2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12" Type="http://schemas.openxmlformats.org/officeDocument/2006/relationships/chart" Target="../charts/chart41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11" Type="http://schemas.openxmlformats.org/officeDocument/2006/relationships/chart" Target="../charts/chart40.xml"/><Relationship Id="rId5" Type="http://schemas.openxmlformats.org/officeDocument/2006/relationships/chart" Target="../charts/chart34.xml"/><Relationship Id="rId10" Type="http://schemas.openxmlformats.org/officeDocument/2006/relationships/chart" Target="../charts/chart39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5" Type="http://schemas.openxmlformats.org/officeDocument/2006/relationships/chart" Target="../charts/chart49.xml"/><Relationship Id="rId4" Type="http://schemas.openxmlformats.org/officeDocument/2006/relationships/chart" Target="../charts/chart4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4" Type="http://schemas.openxmlformats.org/officeDocument/2006/relationships/chart" Target="../charts/chart5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chart" Target="../charts/chart55.xml"/><Relationship Id="rId1" Type="http://schemas.openxmlformats.org/officeDocument/2006/relationships/chart" Target="../charts/chart54.xml"/><Relationship Id="rId4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352425</xdr:colOff>
      <xdr:row>12</xdr:row>
      <xdr:rowOff>111125</xdr:rowOff>
    </xdr:from>
    <xdr:to>
      <xdr:col>24</xdr:col>
      <xdr:colOff>482600</xdr:colOff>
      <xdr:row>38</xdr:row>
      <xdr:rowOff>142875</xdr:rowOff>
    </xdr:to>
    <xdr:graphicFrame macro="">
      <xdr:nvGraphicFramePr>
        <xdr:cNvPr id="2" name="ChartS1_ComputeChannelScaling">
          <a:extLst>
            <a:ext uri="{FF2B5EF4-FFF2-40B4-BE49-F238E27FC236}">
              <a16:creationId xmlns:a16="http://schemas.microsoft.com/office/drawing/2014/main" id="{4B944274-56BD-6C6D-AAD4-FF95751C0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304800</xdr:colOff>
      <xdr:row>42</xdr:row>
      <xdr:rowOff>149225</xdr:rowOff>
    </xdr:from>
    <xdr:to>
      <xdr:col>24</xdr:col>
      <xdr:colOff>434975</xdr:colOff>
      <xdr:row>69</xdr:row>
      <xdr:rowOff>3175</xdr:rowOff>
    </xdr:to>
    <xdr:graphicFrame macro="">
      <xdr:nvGraphicFramePr>
        <xdr:cNvPr id="3" name="ChartS2_EfficiencyAsDesignScales">
          <a:extLst>
            <a:ext uri="{FF2B5EF4-FFF2-40B4-BE49-F238E27FC236}">
              <a16:creationId xmlns:a16="http://schemas.microsoft.com/office/drawing/2014/main" id="{5CFFD0C6-CDB7-ED46-8EFC-31CB57230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459014</xdr:colOff>
      <xdr:row>22</xdr:row>
      <xdr:rowOff>36286</xdr:rowOff>
    </xdr:from>
    <xdr:to>
      <xdr:col>25</xdr:col>
      <xdr:colOff>80735</xdr:colOff>
      <xdr:row>49</xdr:row>
      <xdr:rowOff>146958</xdr:rowOff>
    </xdr:to>
    <xdr:graphicFrame macro="">
      <xdr:nvGraphicFramePr>
        <xdr:cNvPr id="2" name="ChartF1_FmaxByCoreCount">
          <a:extLst>
            <a:ext uri="{FF2B5EF4-FFF2-40B4-BE49-F238E27FC236}">
              <a16:creationId xmlns:a16="http://schemas.microsoft.com/office/drawing/2014/main" id="{8C3F4C6E-5F2F-724C-D56A-48F560FE9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338282</xdr:colOff>
      <xdr:row>10</xdr:row>
      <xdr:rowOff>11546</xdr:rowOff>
    </xdr:from>
    <xdr:to>
      <xdr:col>22</xdr:col>
      <xdr:colOff>588241</xdr:colOff>
      <xdr:row>36</xdr:row>
      <xdr:rowOff>49068</xdr:rowOff>
    </xdr:to>
    <xdr:graphicFrame macro="">
      <xdr:nvGraphicFramePr>
        <xdr:cNvPr id="2" name="ChartD1_FmaxVsPartitioning">
          <a:extLst>
            <a:ext uri="{FF2B5EF4-FFF2-40B4-BE49-F238E27FC236}">
              <a16:creationId xmlns:a16="http://schemas.microsoft.com/office/drawing/2014/main" id="{30FF60AC-CC53-4EF1-5C2F-6EE35AFA1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615372</xdr:colOff>
      <xdr:row>39</xdr:row>
      <xdr:rowOff>176646</xdr:rowOff>
    </xdr:from>
    <xdr:to>
      <xdr:col>23</xdr:col>
      <xdr:colOff>253422</xdr:colOff>
      <xdr:row>66</xdr:row>
      <xdr:rowOff>30595</xdr:rowOff>
    </xdr:to>
    <xdr:graphicFrame macro="">
      <xdr:nvGraphicFramePr>
        <xdr:cNvPr id="3" name="ChartD2_AreaCostOfPartitioning">
          <a:extLst>
            <a:ext uri="{FF2B5EF4-FFF2-40B4-BE49-F238E27FC236}">
              <a16:creationId xmlns:a16="http://schemas.microsoft.com/office/drawing/2014/main" id="{29EE0DEC-0394-68A9-F955-2C898B98D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450850</xdr:colOff>
      <xdr:row>2</xdr:row>
      <xdr:rowOff>142875</xdr:rowOff>
    </xdr:from>
    <xdr:to>
      <xdr:col>50</xdr:col>
      <xdr:colOff>69850</xdr:colOff>
      <xdr:row>34</xdr:row>
      <xdr:rowOff>85725</xdr:rowOff>
    </xdr:to>
    <xdr:graphicFrame macro="">
      <xdr:nvGraphicFramePr>
        <xdr:cNvPr id="2" name="Chart325_3_EnergyPerElement">
          <a:extLst>
            <a:ext uri="{FF2B5EF4-FFF2-40B4-BE49-F238E27FC236}">
              <a16:creationId xmlns:a16="http://schemas.microsoft.com/office/drawing/2014/main" id="{06B1D3DE-9FA3-2CE1-F980-2B63F6BED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419100</xdr:colOff>
      <xdr:row>35</xdr:row>
      <xdr:rowOff>171450</xdr:rowOff>
    </xdr:from>
    <xdr:to>
      <xdr:col>50</xdr:col>
      <xdr:colOff>38100</xdr:colOff>
      <xdr:row>67</xdr:row>
      <xdr:rowOff>120650</xdr:rowOff>
    </xdr:to>
    <xdr:graphicFrame macro="">
      <xdr:nvGraphicFramePr>
        <xdr:cNvPr id="3" name="Chart325_4_EnergyTotalPerMatrix">
          <a:extLst>
            <a:ext uri="{FF2B5EF4-FFF2-40B4-BE49-F238E27FC236}">
              <a16:creationId xmlns:a16="http://schemas.microsoft.com/office/drawing/2014/main" id="{CC9CCFC0-13C7-C1B9-7A8F-2DCC67C2A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215900</xdr:colOff>
      <xdr:row>2</xdr:row>
      <xdr:rowOff>142875</xdr:rowOff>
    </xdr:from>
    <xdr:to>
      <xdr:col>45</xdr:col>
      <xdr:colOff>241300</xdr:colOff>
      <xdr:row>30</xdr:row>
      <xdr:rowOff>53975</xdr:rowOff>
    </xdr:to>
    <xdr:graphicFrame macro="">
      <xdr:nvGraphicFramePr>
        <xdr:cNvPr id="2" name="Chart325_1_ActualGFLOPS">
          <a:extLst>
            <a:ext uri="{FF2B5EF4-FFF2-40B4-BE49-F238E27FC236}">
              <a16:creationId xmlns:a16="http://schemas.microsoft.com/office/drawing/2014/main" id="{BF40BA7B-3F0E-DC78-8537-E07E74467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152400</xdr:colOff>
      <xdr:row>31</xdr:row>
      <xdr:rowOff>146050</xdr:rowOff>
    </xdr:from>
    <xdr:to>
      <xdr:col>45</xdr:col>
      <xdr:colOff>177800</xdr:colOff>
      <xdr:row>59</xdr:row>
      <xdr:rowOff>63500</xdr:rowOff>
    </xdr:to>
    <xdr:graphicFrame macro="">
      <xdr:nvGraphicFramePr>
        <xdr:cNvPr id="3" name="Chart325_2_LatencyPerMatrix">
          <a:extLst>
            <a:ext uri="{FF2B5EF4-FFF2-40B4-BE49-F238E27FC236}">
              <a16:creationId xmlns:a16="http://schemas.microsoft.com/office/drawing/2014/main" id="{EE8C2E99-8B05-7906-C6D2-6044AE8C9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9</xdr:row>
      <xdr:rowOff>177800</xdr:rowOff>
    </xdr:from>
    <xdr:to>
      <xdr:col>7</xdr:col>
      <xdr:colOff>177800</xdr:colOff>
      <xdr:row>33</xdr:row>
      <xdr:rowOff>76200</xdr:rowOff>
    </xdr:to>
    <xdr:graphicFrame macro="">
      <xdr:nvGraphicFramePr>
        <xdr:cNvPr id="2" name="Chart5_EffectiveGFLOPS_300v325">
          <a:extLst>
            <a:ext uri="{FF2B5EF4-FFF2-40B4-BE49-F238E27FC236}">
              <a16:creationId xmlns:a16="http://schemas.microsoft.com/office/drawing/2014/main" id="{A2155998-05C3-2F50-0CC1-D926E78ED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9</xdr:row>
      <xdr:rowOff>177800</xdr:rowOff>
    </xdr:from>
    <xdr:to>
      <xdr:col>12</xdr:col>
      <xdr:colOff>552450</xdr:colOff>
      <xdr:row>33</xdr:row>
      <xdr:rowOff>76200</xdr:rowOff>
    </xdr:to>
    <xdr:graphicFrame macro="">
      <xdr:nvGraphicFramePr>
        <xdr:cNvPr id="3" name="Chart6_ActualGFLOPS_300v325">
          <a:extLst>
            <a:ext uri="{FF2B5EF4-FFF2-40B4-BE49-F238E27FC236}">
              <a16:creationId xmlns:a16="http://schemas.microsoft.com/office/drawing/2014/main" id="{7E69752C-19AA-BA63-BC21-B55E65F22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34</xdr:row>
      <xdr:rowOff>146050</xdr:rowOff>
    </xdr:from>
    <xdr:to>
      <xdr:col>7</xdr:col>
      <xdr:colOff>177800</xdr:colOff>
      <xdr:row>58</xdr:row>
      <xdr:rowOff>44450</xdr:rowOff>
    </xdr:to>
    <xdr:graphicFrame macro="">
      <xdr:nvGraphicFramePr>
        <xdr:cNvPr id="4" name="Chart7_ClockScalingRatio">
          <a:extLst>
            <a:ext uri="{FF2B5EF4-FFF2-40B4-BE49-F238E27FC236}">
              <a16:creationId xmlns:a16="http://schemas.microsoft.com/office/drawing/2014/main" id="{27339BC0-5729-605C-A06F-E3A8C3830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431800</xdr:colOff>
      <xdr:row>34</xdr:row>
      <xdr:rowOff>146050</xdr:rowOff>
    </xdr:from>
    <xdr:to>
      <xdr:col>12</xdr:col>
      <xdr:colOff>552450</xdr:colOff>
      <xdr:row>58</xdr:row>
      <xdr:rowOff>44450</xdr:rowOff>
    </xdr:to>
    <xdr:graphicFrame macro="">
      <xdr:nvGraphicFramePr>
        <xdr:cNvPr id="5" name="Chart8_EnergyPerRow_300v325">
          <a:extLst>
            <a:ext uri="{FF2B5EF4-FFF2-40B4-BE49-F238E27FC236}">
              <a16:creationId xmlns:a16="http://schemas.microsoft.com/office/drawing/2014/main" id="{975C3343-43E2-99DE-B9F3-A88275EE1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13</xdr:col>
      <xdr:colOff>76200</xdr:colOff>
      <xdr:row>26</xdr:row>
      <xdr:rowOff>165100</xdr:rowOff>
    </xdr:to>
    <xdr:graphicFrame macro="">
      <xdr:nvGraphicFramePr>
        <xdr:cNvPr id="2" name="Chart1_SpeedupByShape">
          <a:extLst>
            <a:ext uri="{FF2B5EF4-FFF2-40B4-BE49-F238E27FC236}">
              <a16:creationId xmlns:a16="http://schemas.microsoft.com/office/drawing/2014/main" id="{6615E579-C56D-15B8-D9D3-0C8B212DE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330200</xdr:colOff>
      <xdr:row>0</xdr:row>
      <xdr:rowOff>127000</xdr:rowOff>
    </xdr:from>
    <xdr:to>
      <xdr:col>26</xdr:col>
      <xdr:colOff>279400</xdr:colOff>
      <xdr:row>26</xdr:row>
      <xdr:rowOff>165100</xdr:rowOff>
    </xdr:to>
    <xdr:graphicFrame macro="">
      <xdr:nvGraphicFramePr>
        <xdr:cNvPr id="3" name="Chart2_ThroughputBySparsity">
          <a:extLst>
            <a:ext uri="{FF2B5EF4-FFF2-40B4-BE49-F238E27FC236}">
              <a16:creationId xmlns:a16="http://schemas.microsoft.com/office/drawing/2014/main" id="{FCEAE5AB-D479-C5B0-E3FB-5BE2A5467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330200</xdr:colOff>
      <xdr:row>28</xdr:row>
      <xdr:rowOff>50800</xdr:rowOff>
    </xdr:from>
    <xdr:to>
      <xdr:col>26</xdr:col>
      <xdr:colOff>279400</xdr:colOff>
      <xdr:row>54</xdr:row>
      <xdr:rowOff>88900</xdr:rowOff>
    </xdr:to>
    <xdr:graphicFrame macro="">
      <xdr:nvGraphicFramePr>
        <xdr:cNvPr id="5" name="Chart4_DSPProductivity">
          <a:extLst>
            <a:ext uri="{FF2B5EF4-FFF2-40B4-BE49-F238E27FC236}">
              <a16:creationId xmlns:a16="http://schemas.microsoft.com/office/drawing/2014/main" id="{F0530E75-AC75-FA7A-A673-E52EC10F3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55</xdr:row>
      <xdr:rowOff>158750</xdr:rowOff>
    </xdr:from>
    <xdr:to>
      <xdr:col>13</xdr:col>
      <xdr:colOff>76200</xdr:colOff>
      <xdr:row>82</xdr:row>
      <xdr:rowOff>12700</xdr:rowOff>
    </xdr:to>
    <xdr:graphicFrame macro="">
      <xdr:nvGraphicFramePr>
        <xdr:cNvPr id="6" name="Chart5_DSPOccupancy">
          <a:extLst>
            <a:ext uri="{FF2B5EF4-FFF2-40B4-BE49-F238E27FC236}">
              <a16:creationId xmlns:a16="http://schemas.microsoft.com/office/drawing/2014/main" id="{38B21BD6-21F4-33F3-A293-EAC47CA05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330200</xdr:colOff>
      <xdr:row>55</xdr:row>
      <xdr:rowOff>158750</xdr:rowOff>
    </xdr:from>
    <xdr:to>
      <xdr:col>26</xdr:col>
      <xdr:colOff>279400</xdr:colOff>
      <xdr:row>82</xdr:row>
      <xdr:rowOff>12700</xdr:rowOff>
    </xdr:to>
    <xdr:graphicFrame macro="">
      <xdr:nvGraphicFramePr>
        <xdr:cNvPr id="7" name="Chart6_EnergyPerRow">
          <a:extLst>
            <a:ext uri="{FF2B5EF4-FFF2-40B4-BE49-F238E27FC236}">
              <a16:creationId xmlns:a16="http://schemas.microsoft.com/office/drawing/2014/main" id="{E15C12E7-4071-AD76-4BA7-7DF6F1A4D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127000</xdr:colOff>
      <xdr:row>83</xdr:row>
      <xdr:rowOff>82550</xdr:rowOff>
    </xdr:from>
    <xdr:to>
      <xdr:col>13</xdr:col>
      <xdr:colOff>76200</xdr:colOff>
      <xdr:row>109</xdr:row>
      <xdr:rowOff>120650</xdr:rowOff>
    </xdr:to>
    <xdr:graphicFrame macro="">
      <xdr:nvGraphicFramePr>
        <xdr:cNvPr id="8" name="Chart7_BoardPowerFlat">
          <a:extLst>
            <a:ext uri="{FF2B5EF4-FFF2-40B4-BE49-F238E27FC236}">
              <a16:creationId xmlns:a16="http://schemas.microsoft.com/office/drawing/2014/main" id="{A6ED31A1-0CDF-DC93-9994-38633D7D5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330200</xdr:colOff>
      <xdr:row>83</xdr:row>
      <xdr:rowOff>82550</xdr:rowOff>
    </xdr:from>
    <xdr:to>
      <xdr:col>26</xdr:col>
      <xdr:colOff>279400</xdr:colOff>
      <xdr:row>109</xdr:row>
      <xdr:rowOff>120650</xdr:rowOff>
    </xdr:to>
    <xdr:graphicFrame macro="">
      <xdr:nvGraphicFramePr>
        <xdr:cNvPr id="9" name="Chart8_MixedAdditivity">
          <a:extLst>
            <a:ext uri="{FF2B5EF4-FFF2-40B4-BE49-F238E27FC236}">
              <a16:creationId xmlns:a16="http://schemas.microsoft.com/office/drawing/2014/main" id="{7821D03A-9D89-4B99-B30D-AD5998928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127000</xdr:colOff>
      <xdr:row>111</xdr:row>
      <xdr:rowOff>6350</xdr:rowOff>
    </xdr:from>
    <xdr:to>
      <xdr:col>13</xdr:col>
      <xdr:colOff>76200</xdr:colOff>
      <xdr:row>137</xdr:row>
      <xdr:rowOff>44450</xdr:rowOff>
    </xdr:to>
    <xdr:graphicFrame macro="">
      <xdr:nvGraphicFramePr>
        <xdr:cNvPr id="10" name="Chart9_ActualGFLOPSByShape">
          <a:extLst>
            <a:ext uri="{FF2B5EF4-FFF2-40B4-BE49-F238E27FC236}">
              <a16:creationId xmlns:a16="http://schemas.microsoft.com/office/drawing/2014/main" id="{C5D9EFE9-1517-B9BD-8B2A-3B69A7E97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127000</xdr:colOff>
      <xdr:row>138</xdr:row>
      <xdr:rowOff>114300</xdr:rowOff>
    </xdr:from>
    <xdr:to>
      <xdr:col>26</xdr:col>
      <xdr:colOff>279400</xdr:colOff>
      <xdr:row>170</xdr:row>
      <xdr:rowOff>63500</xdr:rowOff>
    </xdr:to>
    <xdr:graphicFrame macro="">
      <xdr:nvGraphicFramePr>
        <xdr:cNvPr id="11" name="Chart10_ActualVsEffective">
          <a:extLst>
            <a:ext uri="{FF2B5EF4-FFF2-40B4-BE49-F238E27FC236}">
              <a16:creationId xmlns:a16="http://schemas.microsoft.com/office/drawing/2014/main" id="{E7C44F59-D5B9-2959-85A6-D4E7CD5F5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152400</xdr:colOff>
      <xdr:row>27</xdr:row>
      <xdr:rowOff>6350</xdr:rowOff>
    </xdr:from>
    <xdr:to>
      <xdr:col>13</xdr:col>
      <xdr:colOff>50800</xdr:colOff>
      <xdr:row>28</xdr:row>
      <xdr:rowOff>50800</xdr:rowOff>
    </xdr:to>
    <xdr:sp macro="" textlink="">
      <xdr:nvSpPr>
        <xdr:cNvPr id="12" name="Chart1_Subtitle">
          <a:extLst>
            <a:ext uri="{FF2B5EF4-FFF2-40B4-BE49-F238E27FC236}">
              <a16:creationId xmlns:a16="http://schemas.microsoft.com/office/drawing/2014/main" id="{EE7DB5DB-6B0D-990F-5E09-D09138F543A2}"/>
            </a:ext>
          </a:extLst>
        </xdr:cNvPr>
        <xdr:cNvSpPr txBox="1"/>
      </xdr:nvSpPr>
      <xdr:spPr>
        <a:xfrm>
          <a:off x="152400" y="4978400"/>
          <a:ext cx="7823200" cy="228600"/>
        </a:xfrm>
        <a:prstGeom prst="rect">
          <a:avLst/>
        </a:prstGeom>
        <a:noFill/>
        <a:ln>
          <a:noFill/>
        </a:ln>
      </xdr:spPr>
      <xdr:txBody>
        <a:bodyPr vertOverflow="overflow" vert="horz" wrap="square" rtlCol="0" anchor="ctr">
          <a:spAutoFit/>
        </a:bodyPr>
        <a:lstStyle/>
        <a:p>
          <a:pPr algn="l"/>
          <a:r>
            <a:rPr kumimoji="0" lang="en-US" sz="1000" b="0" i="1" u="none" strike="noStrike" kern="0" cap="none" spc="0" normalizeH="0" baseline="0" noProof="0">
              <a:ln>
                <a:noFill/>
              </a:ln>
              <a:solidFill>
                <a:srgbClr val="595959"/>
              </a:solidFill>
              <a:effectLst/>
              <a:uLnTx/>
              <a:uFillTx/>
              <a:latin typeface="Calibri"/>
            </a:rPr>
            <a:t>theory 2/4/8/16x — geomeans 2.00/3.96/7.93/15.81x</a:t>
          </a:r>
          <a:endParaRPr kumimoji="0" lang="en-CY" sz="1000" b="0" i="1" u="none" strike="noStrike" kern="0" cap="none" spc="0" normalizeH="0" baseline="0" noProof="0">
            <a:ln>
              <a:noFill/>
            </a:ln>
            <a:solidFill>
              <a:srgbClr val="595959"/>
            </a:solidFill>
            <a:effectLst/>
            <a:uLnTx/>
            <a:uFillTx/>
            <a:latin typeface="Calibri"/>
          </a:endParaRPr>
        </a:p>
      </xdr:txBody>
    </xdr:sp>
    <xdr:clientData/>
  </xdr:twoCellAnchor>
  <xdr:twoCellAnchor>
    <xdr:from>
      <xdr:col>0</xdr:col>
      <xdr:colOff>126999</xdr:colOff>
      <xdr:row>28</xdr:row>
      <xdr:rowOff>50799</xdr:rowOff>
    </xdr:from>
    <xdr:to>
      <xdr:col>13</xdr:col>
      <xdr:colOff>76199</xdr:colOff>
      <xdr:row>54</xdr:row>
      <xdr:rowOff>88899</xdr:rowOff>
    </xdr:to>
    <xdr:graphicFrame macro="">
      <xdr:nvGraphicFramePr>
        <xdr:cNvPr id="13" name="Chart3_SameTimeMoreWork">
          <a:extLst>
            <a:ext uri="{FF2B5EF4-FFF2-40B4-BE49-F238E27FC236}">
              <a16:creationId xmlns:a16="http://schemas.microsoft.com/office/drawing/2014/main" id="{0DE0747F-F1DE-B6F4-25B6-4647A6F57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126999</xdr:colOff>
      <xdr:row>171</xdr:row>
      <xdr:rowOff>133349</xdr:rowOff>
    </xdr:from>
    <xdr:to>
      <xdr:col>26</xdr:col>
      <xdr:colOff>279399</xdr:colOff>
      <xdr:row>203</xdr:row>
      <xdr:rowOff>82549</xdr:rowOff>
    </xdr:to>
    <xdr:graphicFrame macro="">
      <xdr:nvGraphicFramePr>
        <xdr:cNvPr id="4" name="Chart11_ActualOnly_ClusteredColumn">
          <a:extLst>
            <a:ext uri="{FF2B5EF4-FFF2-40B4-BE49-F238E27FC236}">
              <a16:creationId xmlns:a16="http://schemas.microsoft.com/office/drawing/2014/main" id="{BF9E9A14-743A-5CE9-7300-3D48359AA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126999</xdr:colOff>
      <xdr:row>204</xdr:row>
      <xdr:rowOff>152400</xdr:rowOff>
    </xdr:from>
    <xdr:to>
      <xdr:col>26</xdr:col>
      <xdr:colOff>279399</xdr:colOff>
      <xdr:row>236</xdr:row>
      <xdr:rowOff>101600</xdr:rowOff>
    </xdr:to>
    <xdr:graphicFrame macro="">
      <xdr:nvGraphicFramePr>
        <xdr:cNvPr id="14" name="Chart12_LatencyPerMatrix_ClusteredColumn_Log">
          <a:extLst>
            <a:ext uri="{FF2B5EF4-FFF2-40B4-BE49-F238E27FC236}">
              <a16:creationId xmlns:a16="http://schemas.microsoft.com/office/drawing/2014/main" id="{B07F8224-C157-476F-6BCD-83BC1A4AA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127000</xdr:colOff>
      <xdr:row>237</xdr:row>
      <xdr:rowOff>171449</xdr:rowOff>
    </xdr:from>
    <xdr:to>
      <xdr:col>29</xdr:col>
      <xdr:colOff>228600</xdr:colOff>
      <xdr:row>272</xdr:row>
      <xdr:rowOff>76199</xdr:rowOff>
    </xdr:to>
    <xdr:graphicFrame macro="">
      <xdr:nvGraphicFramePr>
        <xdr:cNvPr id="15" name="Chart13_EnergyPerElement_StaticDynamic">
          <a:extLst>
            <a:ext uri="{FF2B5EF4-FFF2-40B4-BE49-F238E27FC236}">
              <a16:creationId xmlns:a16="http://schemas.microsoft.com/office/drawing/2014/main" id="{E2447A1B-6F47-B2DA-50DF-2F331055E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127000</xdr:colOff>
      <xdr:row>277</xdr:row>
      <xdr:rowOff>36286</xdr:rowOff>
    </xdr:from>
    <xdr:to>
      <xdr:col>14</xdr:col>
      <xdr:colOff>508000</xdr:colOff>
      <xdr:row>280</xdr:row>
      <xdr:rowOff>127000</xdr:rowOff>
    </xdr:to>
    <xdr:sp macro="" textlink="">
      <xdr:nvSpPr>
        <xdr:cNvPr id="16" name="Note_EnergyPerElement">
          <a:extLst>
            <a:ext uri="{FF2B5EF4-FFF2-40B4-BE49-F238E27FC236}">
              <a16:creationId xmlns:a16="http://schemas.microsoft.com/office/drawing/2014/main" id="{CAD5A25D-EC3F-65EF-7AA2-8135FAE48470}"/>
            </a:ext>
          </a:extLst>
        </xdr:cNvPr>
        <xdr:cNvSpPr txBox="1"/>
      </xdr:nvSpPr>
      <xdr:spPr>
        <a:xfrm>
          <a:off x="127000" y="50292000"/>
          <a:ext cx="8890000" cy="635000"/>
        </a:xfrm>
        <a:prstGeom prst="rect">
          <a:avLst/>
        </a:prstGeom>
        <a:solidFill>
          <a:srgbClr val="F2F2F2"/>
        </a:solidFill>
        <a:ln>
          <a:solidFill>
            <a:srgbClr val="BFBFBF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04040"/>
              </a:solidFill>
              <a:effectLst/>
              <a:uLnTx/>
              <a:uFillTx/>
              <a:latin typeface="Calibri"/>
              <a:ea typeface="Calibri"/>
              <a:cs typeface="Calibri"/>
            </a:rPr>
            <a:t>Static is 84-86% of board energy in every configuration. Sparse draws MORE power than dense (35.9 W vs 31.8 W) but finishes sooner.</a:t>
          </a:r>
          <a:endParaRPr kumimoji="0" lang="en-CY" sz="1100" b="0" i="0" u="none" strike="noStrike" kern="0" cap="none" spc="0" normalizeH="0" baseline="0" noProof="0">
            <a:ln>
              <a:noFill/>
            </a:ln>
            <a:solidFill>
              <a:srgbClr val="404040"/>
            </a:solidFill>
            <a:effectLst/>
            <a:uLnTx/>
            <a:uFillTx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127000</xdr:colOff>
      <xdr:row>279</xdr:row>
      <xdr:rowOff>57149</xdr:rowOff>
    </xdr:from>
    <xdr:to>
      <xdr:col>29</xdr:col>
      <xdr:colOff>228600</xdr:colOff>
      <xdr:row>313</xdr:row>
      <xdr:rowOff>146049</xdr:rowOff>
    </xdr:to>
    <xdr:graphicFrame macro="">
      <xdr:nvGraphicFramePr>
        <xdr:cNvPr id="17" name="Chart14_EnergyTotalPerMatrix_StaticDynamic">
          <a:extLst>
            <a:ext uri="{FF2B5EF4-FFF2-40B4-BE49-F238E27FC236}">
              <a16:creationId xmlns:a16="http://schemas.microsoft.com/office/drawing/2014/main" id="{8125A3FA-F6B1-7A1B-7E32-6B982DEBC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127000</xdr:colOff>
      <xdr:row>317</xdr:row>
      <xdr:rowOff>44450</xdr:rowOff>
    </xdr:from>
    <xdr:to>
      <xdr:col>23</xdr:col>
      <xdr:colOff>76200</xdr:colOff>
      <xdr:row>348</xdr:row>
      <xdr:rowOff>177800</xdr:rowOff>
    </xdr:to>
    <xdr:graphicFrame macro="">
      <xdr:nvGraphicFramePr>
        <xdr:cNvPr id="18" name="Chart15_Serpens_Speedup">
          <a:extLst>
            <a:ext uri="{FF2B5EF4-FFF2-40B4-BE49-F238E27FC236}">
              <a16:creationId xmlns:a16="http://schemas.microsoft.com/office/drawing/2014/main" id="{BCFF37FD-E68C-94C9-F4F4-62390FFF2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127000</xdr:colOff>
      <xdr:row>351</xdr:row>
      <xdr:rowOff>133350</xdr:rowOff>
    </xdr:from>
    <xdr:to>
      <xdr:col>23</xdr:col>
      <xdr:colOff>76200</xdr:colOff>
      <xdr:row>383</xdr:row>
      <xdr:rowOff>82550</xdr:rowOff>
    </xdr:to>
    <xdr:graphicFrame macro="">
      <xdr:nvGraphicFramePr>
        <xdr:cNvPr id="19" name="Chart16_Serpens_Occupancy">
          <a:extLst>
            <a:ext uri="{FF2B5EF4-FFF2-40B4-BE49-F238E27FC236}">
              <a16:creationId xmlns:a16="http://schemas.microsoft.com/office/drawing/2014/main" id="{1CE96935-91BA-9BC0-65B6-12708DA85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A582F-50D0-9FE0-D0E6-0A6717299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31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DEA196-0A34-4C7F-CDCC-9AAE98E71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50A555-AF99-CBF3-C576-1CD579C11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21</xdr:row>
      <xdr:rowOff>0</xdr:rowOff>
    </xdr:from>
    <xdr:to>
      <xdr:col>31</xdr:col>
      <xdr:colOff>0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BF59C3-7053-4EC2-5EBF-7C15463D4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2720</xdr:rowOff>
    </xdr:from>
    <xdr:to>
      <xdr:col>15</xdr:col>
      <xdr:colOff>0</xdr:colOff>
      <xdr:row>62</xdr:row>
      <xdr:rowOff>2721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5B2397-9F59-3AFD-ECE7-DBF764C13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42</xdr:row>
      <xdr:rowOff>2720</xdr:rowOff>
    </xdr:from>
    <xdr:to>
      <xdr:col>31</xdr:col>
      <xdr:colOff>0</xdr:colOff>
      <xdr:row>62</xdr:row>
      <xdr:rowOff>2721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19F4D2-F71C-3110-022A-9DE04FF71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63</xdr:row>
      <xdr:rowOff>2720</xdr:rowOff>
    </xdr:from>
    <xdr:to>
      <xdr:col>15</xdr:col>
      <xdr:colOff>0</xdr:colOff>
      <xdr:row>83</xdr:row>
      <xdr:rowOff>2721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5426AB-9368-FF15-86AC-8659D1ADD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63</xdr:row>
      <xdr:rowOff>2720</xdr:rowOff>
    </xdr:from>
    <xdr:to>
      <xdr:col>31</xdr:col>
      <xdr:colOff>0</xdr:colOff>
      <xdr:row>83</xdr:row>
      <xdr:rowOff>2721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4EE522-A55C-847C-4094-29FB0C7A9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84</xdr:row>
      <xdr:rowOff>2720</xdr:rowOff>
    </xdr:from>
    <xdr:to>
      <xdr:col>15</xdr:col>
      <xdr:colOff>0</xdr:colOff>
      <xdr:row>104</xdr:row>
      <xdr:rowOff>2721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3BBC0F-FCFD-BB5F-FAB7-440E1FB89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105</xdr:row>
      <xdr:rowOff>2720</xdr:rowOff>
    </xdr:from>
    <xdr:to>
      <xdr:col>15</xdr:col>
      <xdr:colOff>0</xdr:colOff>
      <xdr:row>125</xdr:row>
      <xdr:rowOff>2721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0BBDECB-F25D-F60C-6656-9ECC5C76C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0</xdr:colOff>
      <xdr:row>105</xdr:row>
      <xdr:rowOff>2720</xdr:rowOff>
    </xdr:from>
    <xdr:to>
      <xdr:col>31</xdr:col>
      <xdr:colOff>0</xdr:colOff>
      <xdr:row>125</xdr:row>
      <xdr:rowOff>2721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90AF580-CB5F-4FE2-5C8F-AC196DCA3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125</xdr:row>
      <xdr:rowOff>184149</xdr:rowOff>
    </xdr:from>
    <xdr:to>
      <xdr:col>15</xdr:col>
      <xdr:colOff>0</xdr:colOff>
      <xdr:row>145</xdr:row>
      <xdr:rowOff>184149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A9EC880-C28B-BC4A-653D-6FA4DD46B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0</xdr:rowOff>
    </xdr:from>
    <xdr:to>
      <xdr:col>26</xdr:col>
      <xdr:colOff>279400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76D062-2D6E-E5FB-634D-6939C563E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32</xdr:row>
      <xdr:rowOff>76200</xdr:rowOff>
    </xdr:from>
    <xdr:to>
      <xdr:col>26</xdr:col>
      <xdr:colOff>279400</xdr:colOff>
      <xdr:row>64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C4E9DD-6C27-7381-B150-7EB91CB84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64</xdr:row>
      <xdr:rowOff>152400</xdr:rowOff>
    </xdr:from>
    <xdr:to>
      <xdr:col>26</xdr:col>
      <xdr:colOff>279400</xdr:colOff>
      <xdr:row>96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924E50-F9B1-9CCA-3714-D9E070638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0</xdr:rowOff>
    </xdr:from>
    <xdr:to>
      <xdr:col>26</xdr:col>
      <xdr:colOff>279400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4ABC5-CC54-8BD5-4997-17A7355E2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32</xdr:row>
      <xdr:rowOff>76200</xdr:rowOff>
    </xdr:from>
    <xdr:to>
      <xdr:col>26</xdr:col>
      <xdr:colOff>279400</xdr:colOff>
      <xdr:row>64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5956D7-A2E1-8F40-BE82-881D808D6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64</xdr:row>
      <xdr:rowOff>152400</xdr:rowOff>
    </xdr:from>
    <xdr:to>
      <xdr:col>26</xdr:col>
      <xdr:colOff>279400</xdr:colOff>
      <xdr:row>96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7B0616-E077-CFA6-8C51-DCA9318AC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97</xdr:row>
      <xdr:rowOff>44450</xdr:rowOff>
    </xdr:from>
    <xdr:to>
      <xdr:col>26</xdr:col>
      <xdr:colOff>279400</xdr:colOff>
      <xdr:row>128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249B79-1C64-BC6B-C813-1B468AC13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127000</xdr:colOff>
      <xdr:row>129</xdr:row>
      <xdr:rowOff>120650</xdr:rowOff>
    </xdr:from>
    <xdr:to>
      <xdr:col>26</xdr:col>
      <xdr:colOff>279400</xdr:colOff>
      <xdr:row>161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5A18D0-23A0-1409-5433-3AD4916F9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26</xdr:col>
      <xdr:colOff>279400</xdr:colOff>
      <xdr:row>32</xdr:row>
      <xdr:rowOff>76200</xdr:rowOff>
    </xdr:to>
    <xdr:graphicFrame macro="">
      <xdr:nvGraphicFramePr>
        <xdr:cNvPr id="2" name="ChartE_Throughput">
          <a:extLst>
            <a:ext uri="{FF2B5EF4-FFF2-40B4-BE49-F238E27FC236}">
              <a16:creationId xmlns:a16="http://schemas.microsoft.com/office/drawing/2014/main" id="{8DBA36DE-AE03-4CF8-12B4-79B1DC00D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33</xdr:row>
      <xdr:rowOff>146050</xdr:rowOff>
    </xdr:from>
    <xdr:to>
      <xdr:col>26</xdr:col>
      <xdr:colOff>279400</xdr:colOff>
      <xdr:row>65</xdr:row>
      <xdr:rowOff>95250</xdr:rowOff>
    </xdr:to>
    <xdr:graphicFrame macro="">
      <xdr:nvGraphicFramePr>
        <xdr:cNvPr id="3" name="ChartF_EnergyPerMAC">
          <a:extLst>
            <a:ext uri="{FF2B5EF4-FFF2-40B4-BE49-F238E27FC236}">
              <a16:creationId xmlns:a16="http://schemas.microsoft.com/office/drawing/2014/main" id="{F53AE28F-6B38-43AB-AA05-61835D338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66</xdr:row>
      <xdr:rowOff>165100</xdr:rowOff>
    </xdr:from>
    <xdr:to>
      <xdr:col>26</xdr:col>
      <xdr:colOff>279400</xdr:colOff>
      <xdr:row>98</xdr:row>
      <xdr:rowOff>114300</xdr:rowOff>
    </xdr:to>
    <xdr:graphicFrame macro="">
      <xdr:nvGraphicFramePr>
        <xdr:cNvPr id="4" name="ChartG_RuntimeClock">
          <a:extLst>
            <a:ext uri="{FF2B5EF4-FFF2-40B4-BE49-F238E27FC236}">
              <a16:creationId xmlns:a16="http://schemas.microsoft.com/office/drawing/2014/main" id="{F9557110-894C-A19F-F604-77BB50880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100</xdr:row>
      <xdr:rowOff>0</xdr:rowOff>
    </xdr:from>
    <xdr:to>
      <xdr:col>26</xdr:col>
      <xdr:colOff>279400</xdr:colOff>
      <xdr:row>131</xdr:row>
      <xdr:rowOff>133350</xdr:rowOff>
    </xdr:to>
    <xdr:graphicFrame macro="">
      <xdr:nvGraphicFramePr>
        <xdr:cNvPr id="5" name="ChartH_ThroughputPerChannel">
          <a:extLst>
            <a:ext uri="{FF2B5EF4-FFF2-40B4-BE49-F238E27FC236}">
              <a16:creationId xmlns:a16="http://schemas.microsoft.com/office/drawing/2014/main" id="{5F4F96D4-3DFA-BAEB-5450-B07A46A3B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26</xdr:col>
      <xdr:colOff>232229</xdr:colOff>
      <xdr:row>31</xdr:row>
      <xdr:rowOff>173264</xdr:rowOff>
    </xdr:to>
    <xdr:graphicFrame macro="">
      <xdr:nvGraphicFramePr>
        <xdr:cNvPr id="2" name="ChartW1_TimePerPass">
          <a:extLst>
            <a:ext uri="{FF2B5EF4-FFF2-40B4-BE49-F238E27FC236}">
              <a16:creationId xmlns:a16="http://schemas.microsoft.com/office/drawing/2014/main" id="{A284A94E-125F-A5E8-8805-7B9AAE7FE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33</xdr:row>
      <xdr:rowOff>56243</xdr:rowOff>
    </xdr:from>
    <xdr:to>
      <xdr:col>26</xdr:col>
      <xdr:colOff>232229</xdr:colOff>
      <xdr:row>64</xdr:row>
      <xdr:rowOff>102507</xdr:rowOff>
    </xdr:to>
    <xdr:graphicFrame macro="">
      <xdr:nvGraphicFramePr>
        <xdr:cNvPr id="3" name="ChartW2_EnergyPerPass">
          <a:extLst>
            <a:ext uri="{FF2B5EF4-FFF2-40B4-BE49-F238E27FC236}">
              <a16:creationId xmlns:a16="http://schemas.microsoft.com/office/drawing/2014/main" id="{00323C0E-323F-C747-9B87-ACADB81B0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65</xdr:row>
      <xdr:rowOff>169636</xdr:rowOff>
    </xdr:from>
    <xdr:to>
      <xdr:col>26</xdr:col>
      <xdr:colOff>232229</xdr:colOff>
      <xdr:row>97</xdr:row>
      <xdr:rowOff>31750</xdr:rowOff>
    </xdr:to>
    <xdr:graphicFrame macro="">
      <xdr:nvGraphicFramePr>
        <xdr:cNvPr id="4" name="ChartW3_WallThroughput">
          <a:extLst>
            <a:ext uri="{FF2B5EF4-FFF2-40B4-BE49-F238E27FC236}">
              <a16:creationId xmlns:a16="http://schemas.microsoft.com/office/drawing/2014/main" id="{5B56E2E7-317C-E816-887D-1E927FEE3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98</xdr:row>
      <xdr:rowOff>98879</xdr:rowOff>
    </xdr:from>
    <xdr:to>
      <xdr:col>26</xdr:col>
      <xdr:colOff>232229</xdr:colOff>
      <xdr:row>129</xdr:row>
      <xdr:rowOff>145143</xdr:rowOff>
    </xdr:to>
    <xdr:graphicFrame macro="">
      <xdr:nvGraphicFramePr>
        <xdr:cNvPr id="5" name="ChartW4_EnergyPerMAC">
          <a:extLst>
            <a:ext uri="{FF2B5EF4-FFF2-40B4-BE49-F238E27FC236}">
              <a16:creationId xmlns:a16="http://schemas.microsoft.com/office/drawing/2014/main" id="{2F064E33-7E75-E515-6097-3127FA4B1C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5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3C4CDE-0477-4874-971E-2E0CEC86980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65ac8da-77e8-4453-8a91-8ae54906a8a0&quot;"/>
  </we:properties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AEAA-AF99-458B-BFC9-8BA6581EB1C7}">
  <dimension ref="A1:T20"/>
  <sheetViews>
    <sheetView topLeftCell="I1" workbookViewId="0">
      <pane ySplit="1" topLeftCell="A2" activePane="bottomLeft" state="frozen"/>
      <selection pane="bottomLeft" activeCell="M26" sqref="M26"/>
    </sheetView>
  </sheetViews>
  <sheetFormatPr defaultRowHeight="14.5" x14ac:dyDescent="0.35"/>
  <cols>
    <col min="1" max="1" width="25" customWidth="1"/>
    <col min="2" max="2" width="30" customWidth="1"/>
    <col min="3" max="3" width="14" customWidth="1"/>
    <col min="4" max="4" width="10" customWidth="1"/>
    <col min="5" max="5" width="13" customWidth="1"/>
    <col min="6" max="7" width="12" customWidth="1"/>
    <col min="8" max="8" width="15" customWidth="1"/>
    <col min="9" max="9" width="11" customWidth="1"/>
    <col min="10" max="10" width="10" customWidth="1"/>
    <col min="11" max="11" width="11" customWidth="1"/>
    <col min="12" max="12" width="19" customWidth="1"/>
    <col min="13" max="14" width="18" customWidth="1"/>
    <col min="15" max="15" width="12" customWidth="1"/>
    <col min="16" max="16" width="11" customWidth="1"/>
    <col min="17" max="17" width="10" customWidth="1"/>
    <col min="18" max="18" width="30" customWidth="1"/>
    <col min="19" max="19" width="11" customWidth="1"/>
    <col min="20" max="20" width="20" customWidth="1"/>
  </cols>
  <sheetData>
    <row r="1" spans="1:20" ht="30" customHeight="1" x14ac:dyDescent="0.35">
      <c r="A1" s="1" t="s">
        <v>675</v>
      </c>
      <c r="B1" s="1" t="s">
        <v>640</v>
      </c>
      <c r="C1" s="1" t="s">
        <v>687</v>
      </c>
      <c r="D1" s="1" t="s">
        <v>804</v>
      </c>
      <c r="E1" s="1" t="s">
        <v>689</v>
      </c>
      <c r="F1" s="1" t="s">
        <v>805</v>
      </c>
      <c r="G1" s="1" t="s">
        <v>806</v>
      </c>
      <c r="H1" s="1" t="s">
        <v>807</v>
      </c>
      <c r="I1" s="1" t="s">
        <v>808</v>
      </c>
      <c r="J1" s="1" t="s">
        <v>809</v>
      </c>
      <c r="K1" s="1" t="s">
        <v>810</v>
      </c>
      <c r="L1" s="1" t="s">
        <v>811</v>
      </c>
      <c r="M1" s="1" t="s">
        <v>812</v>
      </c>
      <c r="N1" s="1" t="s">
        <v>813</v>
      </c>
      <c r="O1" s="1" t="s">
        <v>553</v>
      </c>
      <c r="P1" s="1" t="s">
        <v>814</v>
      </c>
      <c r="Q1" s="1" t="s">
        <v>815</v>
      </c>
      <c r="R1" s="1" t="s">
        <v>816</v>
      </c>
      <c r="S1" s="1" t="s">
        <v>1</v>
      </c>
      <c r="T1" s="1" t="s">
        <v>693</v>
      </c>
    </row>
    <row r="2" spans="1:20" x14ac:dyDescent="0.35">
      <c r="A2" s="2" t="s">
        <v>644</v>
      </c>
      <c r="B2" s="2" t="s">
        <v>645</v>
      </c>
      <c r="C2" s="2" t="s">
        <v>342</v>
      </c>
      <c r="D2" s="2">
        <v>1</v>
      </c>
      <c r="E2" s="2">
        <v>16</v>
      </c>
      <c r="F2" s="2">
        <v>2</v>
      </c>
      <c r="G2" s="2">
        <v>1</v>
      </c>
      <c r="H2" s="2">
        <v>2</v>
      </c>
      <c r="I2" s="2">
        <v>1</v>
      </c>
      <c r="J2" s="2">
        <v>6</v>
      </c>
      <c r="K2" s="2">
        <v>26</v>
      </c>
      <c r="L2" s="2" t="s">
        <v>437</v>
      </c>
      <c r="M2" s="2">
        <v>0</v>
      </c>
      <c r="O2" s="2">
        <v>128</v>
      </c>
      <c r="P2" s="2">
        <v>132</v>
      </c>
      <c r="Q2" s="2">
        <v>1.46</v>
      </c>
      <c r="R2" s="2" t="s">
        <v>817</v>
      </c>
      <c r="S2" s="2">
        <v>400</v>
      </c>
      <c r="T2" s="2" t="s">
        <v>818</v>
      </c>
    </row>
    <row r="3" spans="1:20" x14ac:dyDescent="0.35">
      <c r="A3" s="2" t="s">
        <v>647</v>
      </c>
      <c r="B3" s="2" t="s">
        <v>645</v>
      </c>
      <c r="C3" s="2" t="s">
        <v>337</v>
      </c>
      <c r="D3" s="2">
        <v>1</v>
      </c>
      <c r="E3" s="2">
        <v>32</v>
      </c>
      <c r="F3" s="2">
        <v>4</v>
      </c>
      <c r="G3" s="2">
        <v>2</v>
      </c>
      <c r="H3" s="2">
        <v>2</v>
      </c>
      <c r="I3" s="2">
        <v>2</v>
      </c>
      <c r="J3" s="2">
        <v>10</v>
      </c>
      <c r="K3" s="2">
        <v>22</v>
      </c>
      <c r="L3" s="2" t="s">
        <v>437</v>
      </c>
      <c r="M3" s="2">
        <v>0</v>
      </c>
      <c r="O3" s="2">
        <v>256</v>
      </c>
      <c r="P3" s="2">
        <v>260</v>
      </c>
      <c r="Q3" s="2">
        <v>2.88</v>
      </c>
      <c r="R3" s="2" t="s">
        <v>817</v>
      </c>
      <c r="S3" s="2">
        <v>375</v>
      </c>
      <c r="T3" s="2" t="s">
        <v>818</v>
      </c>
    </row>
    <row r="4" spans="1:20" x14ac:dyDescent="0.35">
      <c r="A4" s="2" t="s">
        <v>664</v>
      </c>
      <c r="B4" s="2" t="s">
        <v>819</v>
      </c>
      <c r="C4" s="2" t="s">
        <v>342</v>
      </c>
      <c r="D4" s="2">
        <v>2</v>
      </c>
      <c r="E4" s="2">
        <v>32</v>
      </c>
      <c r="F4" s="2">
        <v>4</v>
      </c>
      <c r="G4" s="2">
        <v>2</v>
      </c>
      <c r="H4" s="2">
        <v>4</v>
      </c>
      <c r="I4" s="2">
        <v>2</v>
      </c>
      <c r="J4" s="2">
        <v>12</v>
      </c>
      <c r="K4" s="2">
        <v>20</v>
      </c>
      <c r="L4" s="2" t="s">
        <v>437</v>
      </c>
      <c r="M4" s="2">
        <v>0</v>
      </c>
      <c r="O4" s="2">
        <v>256</v>
      </c>
      <c r="P4" s="2">
        <v>260</v>
      </c>
      <c r="Q4" s="2">
        <v>2.88</v>
      </c>
      <c r="R4" s="2" t="s">
        <v>817</v>
      </c>
      <c r="S4" s="2">
        <v>394</v>
      </c>
      <c r="T4" s="2" t="s">
        <v>818</v>
      </c>
    </row>
    <row r="5" spans="1:20" x14ac:dyDescent="0.35">
      <c r="A5" s="2" t="s">
        <v>650</v>
      </c>
      <c r="B5" s="2" t="s">
        <v>645</v>
      </c>
      <c r="C5" s="2" t="s">
        <v>332</v>
      </c>
      <c r="D5" s="2">
        <v>1</v>
      </c>
      <c r="E5" s="2">
        <v>48</v>
      </c>
      <c r="F5" s="2">
        <v>6</v>
      </c>
      <c r="G5" s="2">
        <v>2</v>
      </c>
      <c r="H5" s="2">
        <v>2</v>
      </c>
      <c r="I5" s="2">
        <v>3</v>
      </c>
      <c r="J5" s="2">
        <v>13</v>
      </c>
      <c r="K5" s="2">
        <v>19</v>
      </c>
      <c r="L5" s="2" t="s">
        <v>437</v>
      </c>
      <c r="M5" s="2">
        <v>0</v>
      </c>
      <c r="O5" s="2">
        <v>384</v>
      </c>
      <c r="P5" s="2">
        <v>388</v>
      </c>
      <c r="Q5" s="2">
        <v>4.3</v>
      </c>
      <c r="R5" s="2" t="s">
        <v>817</v>
      </c>
      <c r="S5" s="2">
        <v>350</v>
      </c>
      <c r="T5" s="2" t="s">
        <v>818</v>
      </c>
    </row>
    <row r="6" spans="1:20" x14ac:dyDescent="0.35">
      <c r="A6" s="2" t="s">
        <v>820</v>
      </c>
      <c r="B6" s="2" t="s">
        <v>821</v>
      </c>
      <c r="C6" s="2" t="s">
        <v>342</v>
      </c>
      <c r="D6" s="2">
        <v>3</v>
      </c>
      <c r="E6" s="2">
        <v>48</v>
      </c>
      <c r="F6" s="2">
        <v>6</v>
      </c>
      <c r="G6" s="2">
        <v>3</v>
      </c>
      <c r="H6" s="2">
        <v>2</v>
      </c>
      <c r="I6" s="2">
        <v>3</v>
      </c>
      <c r="J6" s="2">
        <v>14</v>
      </c>
      <c r="K6" s="2">
        <v>18</v>
      </c>
      <c r="L6" s="2" t="s">
        <v>437</v>
      </c>
      <c r="M6" s="2">
        <v>4</v>
      </c>
      <c r="N6" t="s">
        <v>717</v>
      </c>
      <c r="O6" s="2">
        <v>384</v>
      </c>
      <c r="P6" s="2">
        <v>388</v>
      </c>
      <c r="Q6" s="2">
        <v>4.3</v>
      </c>
      <c r="R6" s="2" t="s">
        <v>822</v>
      </c>
      <c r="S6" s="2"/>
      <c r="T6" s="2" t="s">
        <v>823</v>
      </c>
    </row>
    <row r="7" spans="1:20" x14ac:dyDescent="0.35">
      <c r="A7" s="2" t="s">
        <v>717</v>
      </c>
      <c r="B7" s="2" t="s">
        <v>819</v>
      </c>
      <c r="C7" s="2" t="s">
        <v>342</v>
      </c>
      <c r="D7" s="2">
        <v>3</v>
      </c>
      <c r="E7" s="2">
        <v>48</v>
      </c>
      <c r="F7" s="2">
        <v>6</v>
      </c>
      <c r="G7" s="2">
        <v>3</v>
      </c>
      <c r="H7" s="2">
        <v>6</v>
      </c>
      <c r="I7" s="2">
        <v>3</v>
      </c>
      <c r="J7" s="2">
        <v>18</v>
      </c>
      <c r="K7" s="2">
        <v>14</v>
      </c>
      <c r="L7" s="2" t="s">
        <v>425</v>
      </c>
      <c r="M7" s="2">
        <v>0</v>
      </c>
      <c r="O7" s="2">
        <v>384</v>
      </c>
      <c r="P7" s="2">
        <v>388</v>
      </c>
      <c r="Q7" s="2">
        <v>4.3</v>
      </c>
      <c r="R7" s="2" t="s">
        <v>817</v>
      </c>
      <c r="S7" s="2">
        <v>399</v>
      </c>
      <c r="T7" s="2" t="s">
        <v>818</v>
      </c>
    </row>
    <row r="8" spans="1:20" x14ac:dyDescent="0.35">
      <c r="A8" s="2" t="s">
        <v>652</v>
      </c>
      <c r="B8" s="2" t="s">
        <v>645</v>
      </c>
      <c r="C8" s="2" t="s">
        <v>314</v>
      </c>
      <c r="D8" s="2">
        <v>1</v>
      </c>
      <c r="E8" s="2">
        <v>64</v>
      </c>
      <c r="F8" s="2">
        <v>8</v>
      </c>
      <c r="G8" s="2">
        <v>3</v>
      </c>
      <c r="H8" s="2">
        <v>2</v>
      </c>
      <c r="I8" s="2">
        <v>4</v>
      </c>
      <c r="J8" s="2">
        <v>17</v>
      </c>
      <c r="K8" s="2">
        <v>15</v>
      </c>
      <c r="L8" s="2" t="s">
        <v>425</v>
      </c>
      <c r="M8" s="2">
        <v>0</v>
      </c>
      <c r="O8" s="2">
        <v>512</v>
      </c>
      <c r="P8" s="2">
        <v>516</v>
      </c>
      <c r="Q8" s="2">
        <v>5.72</v>
      </c>
      <c r="R8" s="2" t="s">
        <v>817</v>
      </c>
      <c r="S8" s="2">
        <v>325</v>
      </c>
      <c r="T8" s="2" t="s">
        <v>818</v>
      </c>
    </row>
    <row r="9" spans="1:20" x14ac:dyDescent="0.35">
      <c r="A9" s="2" t="s">
        <v>720</v>
      </c>
      <c r="B9" s="2" t="s">
        <v>819</v>
      </c>
      <c r="C9" s="2" t="s">
        <v>337</v>
      </c>
      <c r="D9" s="2">
        <v>2</v>
      </c>
      <c r="E9" s="2">
        <v>64</v>
      </c>
      <c r="F9" s="2">
        <v>8</v>
      </c>
      <c r="G9" s="2">
        <v>4</v>
      </c>
      <c r="H9" s="2">
        <v>4</v>
      </c>
      <c r="I9" s="2">
        <v>4</v>
      </c>
      <c r="J9" s="2">
        <v>20</v>
      </c>
      <c r="K9" s="2">
        <v>12</v>
      </c>
      <c r="L9" s="2" t="s">
        <v>425</v>
      </c>
      <c r="M9" s="2">
        <v>0</v>
      </c>
      <c r="O9" s="2">
        <v>512</v>
      </c>
      <c r="P9" s="2">
        <v>516</v>
      </c>
      <c r="Q9" s="2">
        <v>5.72</v>
      </c>
      <c r="R9" s="2" t="s">
        <v>817</v>
      </c>
      <c r="S9" s="2">
        <v>361</v>
      </c>
      <c r="T9" s="2" t="s">
        <v>818</v>
      </c>
    </row>
    <row r="10" spans="1:20" x14ac:dyDescent="0.35">
      <c r="A10" s="2" t="s">
        <v>666</v>
      </c>
      <c r="B10" s="2" t="s">
        <v>819</v>
      </c>
      <c r="C10" s="2" t="s">
        <v>342</v>
      </c>
      <c r="D10" s="2">
        <v>4</v>
      </c>
      <c r="E10" s="2">
        <v>64</v>
      </c>
      <c r="F10" s="2">
        <v>8</v>
      </c>
      <c r="G10" s="2">
        <v>4</v>
      </c>
      <c r="H10" s="2">
        <v>8</v>
      </c>
      <c r="I10" s="2">
        <v>4</v>
      </c>
      <c r="J10" s="2">
        <v>24</v>
      </c>
      <c r="K10" s="2">
        <v>8</v>
      </c>
      <c r="L10" s="2" t="s">
        <v>425</v>
      </c>
      <c r="M10" s="2">
        <v>0</v>
      </c>
      <c r="N10" s="2"/>
      <c r="O10" s="2">
        <v>512</v>
      </c>
      <c r="P10" s="2">
        <v>516</v>
      </c>
      <c r="Q10" s="2">
        <v>5.72</v>
      </c>
      <c r="R10" s="2" t="s">
        <v>817</v>
      </c>
      <c r="S10">
        <v>374</v>
      </c>
      <c r="T10" s="2" t="s">
        <v>818</v>
      </c>
    </row>
    <row r="11" spans="1:20" x14ac:dyDescent="0.35">
      <c r="A11" s="2" t="s">
        <v>670</v>
      </c>
      <c r="B11" s="2" t="s">
        <v>819</v>
      </c>
      <c r="C11" s="2" t="s">
        <v>342</v>
      </c>
      <c r="D11" s="2">
        <v>5</v>
      </c>
      <c r="E11" s="2">
        <v>80</v>
      </c>
      <c r="F11" s="2">
        <v>10</v>
      </c>
      <c r="G11" s="2">
        <v>5</v>
      </c>
      <c r="H11" s="2">
        <v>10</v>
      </c>
      <c r="I11" s="2">
        <v>5</v>
      </c>
      <c r="J11" s="2">
        <v>30</v>
      </c>
      <c r="K11" s="2">
        <v>2</v>
      </c>
      <c r="L11" s="2" t="s">
        <v>425</v>
      </c>
      <c r="M11" s="2">
        <v>0</v>
      </c>
      <c r="O11" s="2">
        <v>640</v>
      </c>
      <c r="P11" s="2">
        <v>644</v>
      </c>
      <c r="Q11" s="2">
        <v>7.14</v>
      </c>
      <c r="R11" s="2" t="s">
        <v>817</v>
      </c>
      <c r="S11" s="2">
        <v>329</v>
      </c>
      <c r="T11" s="2" t="s">
        <v>818</v>
      </c>
    </row>
    <row r="12" spans="1:20" x14ac:dyDescent="0.35">
      <c r="A12" s="2" t="s">
        <v>654</v>
      </c>
      <c r="B12" s="2" t="s">
        <v>645</v>
      </c>
      <c r="C12" s="2" t="s">
        <v>329</v>
      </c>
      <c r="D12" s="2">
        <v>1</v>
      </c>
      <c r="E12" s="2">
        <v>96</v>
      </c>
      <c r="F12" s="2">
        <v>12</v>
      </c>
      <c r="G12" s="2">
        <v>4</v>
      </c>
      <c r="H12" s="2">
        <v>2</v>
      </c>
      <c r="I12" s="2">
        <v>6</v>
      </c>
      <c r="J12" s="2">
        <v>24</v>
      </c>
      <c r="K12" s="2">
        <v>8</v>
      </c>
      <c r="L12" s="2" t="s">
        <v>425</v>
      </c>
      <c r="M12" s="2">
        <v>0</v>
      </c>
      <c r="O12" s="2">
        <v>768</v>
      </c>
      <c r="P12" s="2">
        <v>772</v>
      </c>
      <c r="Q12" s="2">
        <v>8.5500000000000007</v>
      </c>
      <c r="R12" s="2" t="s">
        <v>817</v>
      </c>
      <c r="S12" s="2">
        <v>300</v>
      </c>
      <c r="T12" s="2" t="s">
        <v>818</v>
      </c>
    </row>
    <row r="13" spans="1:20" x14ac:dyDescent="0.35">
      <c r="A13" s="2" t="s">
        <v>827</v>
      </c>
      <c r="B13" s="2" t="s">
        <v>821</v>
      </c>
      <c r="C13" s="2" t="s">
        <v>332</v>
      </c>
      <c r="D13" s="2">
        <v>2</v>
      </c>
      <c r="E13" s="2">
        <v>96</v>
      </c>
      <c r="F13" s="2">
        <v>12</v>
      </c>
      <c r="G13" s="2">
        <v>4</v>
      </c>
      <c r="H13" s="2">
        <v>2</v>
      </c>
      <c r="I13" s="2">
        <v>6</v>
      </c>
      <c r="J13" s="2">
        <v>24</v>
      </c>
      <c r="K13" s="2">
        <v>8</v>
      </c>
      <c r="L13" s="2" t="s">
        <v>425</v>
      </c>
      <c r="M13" s="2">
        <v>2</v>
      </c>
      <c r="N13" t="s">
        <v>668</v>
      </c>
      <c r="O13" s="2">
        <v>768</v>
      </c>
      <c r="P13" s="2">
        <v>772</v>
      </c>
      <c r="Q13" s="2">
        <v>8.5500000000000007</v>
      </c>
      <c r="R13" s="2" t="s">
        <v>822</v>
      </c>
      <c r="T13" s="2" t="s">
        <v>823</v>
      </c>
    </row>
    <row r="14" spans="1:20" x14ac:dyDescent="0.35">
      <c r="A14" s="2" t="s">
        <v>824</v>
      </c>
      <c r="B14" s="2" t="s">
        <v>821</v>
      </c>
      <c r="C14" s="2" t="s">
        <v>342</v>
      </c>
      <c r="D14" s="2">
        <v>6</v>
      </c>
      <c r="E14" s="2">
        <v>96</v>
      </c>
      <c r="F14" s="2">
        <v>12</v>
      </c>
      <c r="G14" s="2">
        <v>6</v>
      </c>
      <c r="H14" s="2">
        <v>2</v>
      </c>
      <c r="I14" s="2">
        <v>6</v>
      </c>
      <c r="J14" s="2">
        <v>26</v>
      </c>
      <c r="K14" s="2">
        <v>6</v>
      </c>
      <c r="L14" s="2" t="s">
        <v>425</v>
      </c>
      <c r="M14" s="2">
        <v>10</v>
      </c>
      <c r="O14" s="2">
        <v>768</v>
      </c>
      <c r="P14" s="2">
        <v>772</v>
      </c>
      <c r="Q14" s="2">
        <v>8.5500000000000007</v>
      </c>
      <c r="R14" s="2" t="s">
        <v>822</v>
      </c>
      <c r="T14" s="2" t="s">
        <v>823</v>
      </c>
    </row>
    <row r="15" spans="1:20" x14ac:dyDescent="0.35">
      <c r="A15" s="2" t="s">
        <v>826</v>
      </c>
      <c r="B15" s="2" t="s">
        <v>821</v>
      </c>
      <c r="C15" s="2" t="s">
        <v>337</v>
      </c>
      <c r="D15" s="2">
        <v>3</v>
      </c>
      <c r="E15" s="2">
        <v>96</v>
      </c>
      <c r="F15" s="2">
        <v>12</v>
      </c>
      <c r="G15" s="2">
        <v>6</v>
      </c>
      <c r="H15" s="2">
        <v>2</v>
      </c>
      <c r="I15" s="2">
        <v>6</v>
      </c>
      <c r="J15" s="2">
        <v>26</v>
      </c>
      <c r="K15" s="2">
        <v>6</v>
      </c>
      <c r="L15" s="2" t="s">
        <v>425</v>
      </c>
      <c r="M15" s="2">
        <v>4</v>
      </c>
      <c r="N15" t="s">
        <v>672</v>
      </c>
      <c r="O15" s="2">
        <v>768</v>
      </c>
      <c r="P15" s="2">
        <v>772</v>
      </c>
      <c r="Q15" s="2">
        <v>8.5500000000000007</v>
      </c>
      <c r="R15" s="2" t="s">
        <v>822</v>
      </c>
      <c r="S15" s="2"/>
      <c r="T15" s="2" t="s">
        <v>823</v>
      </c>
    </row>
    <row r="16" spans="1:20" x14ac:dyDescent="0.35">
      <c r="A16" s="2" t="s">
        <v>668</v>
      </c>
      <c r="B16" s="2" t="s">
        <v>819</v>
      </c>
      <c r="C16" s="2" t="s">
        <v>332</v>
      </c>
      <c r="D16" s="2">
        <v>2</v>
      </c>
      <c r="E16" s="2">
        <v>96</v>
      </c>
      <c r="F16" s="2">
        <v>12</v>
      </c>
      <c r="G16" s="2">
        <v>4</v>
      </c>
      <c r="H16" s="2">
        <v>4</v>
      </c>
      <c r="I16" s="2">
        <v>6</v>
      </c>
      <c r="J16" s="2">
        <v>26</v>
      </c>
      <c r="K16" s="2">
        <v>6</v>
      </c>
      <c r="L16" s="2" t="s">
        <v>425</v>
      </c>
      <c r="M16" s="2">
        <v>0</v>
      </c>
      <c r="O16" s="2">
        <v>768</v>
      </c>
      <c r="P16" s="2">
        <v>772</v>
      </c>
      <c r="Q16" s="2">
        <v>8.5500000000000007</v>
      </c>
      <c r="R16" s="2" t="s">
        <v>817</v>
      </c>
      <c r="S16" s="2">
        <v>341</v>
      </c>
      <c r="T16" s="2" t="s">
        <v>818</v>
      </c>
    </row>
    <row r="17" spans="1:20" x14ac:dyDescent="0.35">
      <c r="A17" s="2" t="s">
        <v>672</v>
      </c>
      <c r="B17" s="2" t="s">
        <v>819</v>
      </c>
      <c r="C17" s="2" t="s">
        <v>337</v>
      </c>
      <c r="D17" s="2">
        <v>3</v>
      </c>
      <c r="E17" s="2">
        <v>96</v>
      </c>
      <c r="F17" s="2">
        <v>12</v>
      </c>
      <c r="G17" s="2">
        <v>6</v>
      </c>
      <c r="H17" s="2">
        <v>6</v>
      </c>
      <c r="I17" s="2">
        <v>6</v>
      </c>
      <c r="J17" s="2">
        <v>30</v>
      </c>
      <c r="K17" s="2">
        <v>2</v>
      </c>
      <c r="L17" s="2" t="s">
        <v>425</v>
      </c>
      <c r="M17" s="2">
        <v>0</v>
      </c>
      <c r="N17" s="2"/>
      <c r="O17" s="2">
        <v>768</v>
      </c>
      <c r="P17" s="2">
        <v>772</v>
      </c>
      <c r="Q17" s="2">
        <v>8.5500000000000007</v>
      </c>
      <c r="R17" s="2" t="s">
        <v>817</v>
      </c>
      <c r="S17">
        <v>354</v>
      </c>
      <c r="T17" s="2" t="s">
        <v>818</v>
      </c>
    </row>
    <row r="18" spans="1:20" x14ac:dyDescent="0.35">
      <c r="A18" s="2" t="s">
        <v>825</v>
      </c>
      <c r="B18" s="2" t="s">
        <v>821</v>
      </c>
      <c r="C18" s="2" t="s">
        <v>342</v>
      </c>
      <c r="D18" s="2">
        <v>7</v>
      </c>
      <c r="E18" s="2">
        <v>112</v>
      </c>
      <c r="F18" s="2">
        <v>14</v>
      </c>
      <c r="G18" s="2">
        <v>7</v>
      </c>
      <c r="H18" s="2">
        <v>2</v>
      </c>
      <c r="I18" s="2">
        <v>7</v>
      </c>
      <c r="J18" s="2">
        <v>30</v>
      </c>
      <c r="K18" s="2">
        <v>2</v>
      </c>
      <c r="L18" s="2" t="s">
        <v>425</v>
      </c>
      <c r="M18" s="2">
        <v>12</v>
      </c>
      <c r="O18" s="2">
        <v>896</v>
      </c>
      <c r="P18" s="2">
        <v>900</v>
      </c>
      <c r="Q18" s="2">
        <v>9.9700000000000006</v>
      </c>
      <c r="R18" s="2" t="s">
        <v>822</v>
      </c>
      <c r="S18" s="2"/>
      <c r="T18" s="2" t="s">
        <v>823</v>
      </c>
    </row>
    <row r="19" spans="1:20" x14ac:dyDescent="0.35">
      <c r="A19" s="2" t="s">
        <v>657</v>
      </c>
      <c r="B19" s="2" t="s">
        <v>645</v>
      </c>
      <c r="C19" s="2" t="s">
        <v>325</v>
      </c>
      <c r="D19" s="2">
        <v>1</v>
      </c>
      <c r="E19" s="2">
        <v>128</v>
      </c>
      <c r="F19" s="2">
        <v>16</v>
      </c>
      <c r="G19" s="2">
        <v>6</v>
      </c>
      <c r="H19" s="2">
        <v>2</v>
      </c>
      <c r="I19" s="2">
        <v>8</v>
      </c>
      <c r="J19" s="2">
        <v>32</v>
      </c>
      <c r="K19" s="2">
        <v>0</v>
      </c>
      <c r="L19" s="2" t="s">
        <v>425</v>
      </c>
      <c r="M19" s="2">
        <v>0</v>
      </c>
      <c r="N19" s="2"/>
      <c r="O19" s="3">
        <v>1024</v>
      </c>
      <c r="P19" s="3">
        <v>1028</v>
      </c>
      <c r="Q19" s="2">
        <v>11.39</v>
      </c>
      <c r="R19" s="2" t="s">
        <v>817</v>
      </c>
      <c r="S19">
        <v>250</v>
      </c>
      <c r="T19" s="2" t="s">
        <v>818</v>
      </c>
    </row>
    <row r="20" spans="1:20" x14ac:dyDescent="0.35">
      <c r="A20" s="2" t="s">
        <v>828</v>
      </c>
      <c r="B20" s="2" t="s">
        <v>821</v>
      </c>
      <c r="C20" s="2" t="s">
        <v>314</v>
      </c>
      <c r="D20" s="2">
        <v>2</v>
      </c>
      <c r="E20" s="2">
        <v>128</v>
      </c>
      <c r="F20" s="2">
        <v>16</v>
      </c>
      <c r="G20" s="2">
        <v>6</v>
      </c>
      <c r="H20" s="2">
        <v>2</v>
      </c>
      <c r="I20" s="2">
        <v>8</v>
      </c>
      <c r="J20" s="2">
        <v>32</v>
      </c>
      <c r="K20" s="2">
        <v>0</v>
      </c>
      <c r="L20" s="2" t="s">
        <v>425</v>
      </c>
      <c r="M20" s="2">
        <v>2</v>
      </c>
      <c r="O20" s="3">
        <v>1024</v>
      </c>
      <c r="P20" s="3">
        <v>1028</v>
      </c>
      <c r="Q20" s="2">
        <v>11.39</v>
      </c>
      <c r="R20" s="2" t="s">
        <v>822</v>
      </c>
      <c r="T20" s="2" t="s">
        <v>823</v>
      </c>
    </row>
  </sheetData>
  <autoFilter ref="A1:T20" xr:uid="{00000000-0009-0000-0000-000019000000}">
    <sortState xmlns:xlrd2="http://schemas.microsoft.com/office/spreadsheetml/2017/richdata2" ref="A2:T20">
      <sortCondition ref="O1:O2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E031-7FBB-4C74-9B56-8FD485CB3DBE}">
  <dimension ref="A1:AZ14"/>
  <sheetViews>
    <sheetView workbookViewId="0">
      <pane ySplit="1" topLeftCell="A2" activePane="bottomLeft" state="frozen"/>
      <selection pane="bottomLeft" activeCell="C37" sqref="C37"/>
    </sheetView>
  </sheetViews>
  <sheetFormatPr defaultRowHeight="14.5" x14ac:dyDescent="0.35"/>
  <cols>
    <col min="1" max="2" width="18" customWidth="1"/>
    <col min="3" max="3" width="20" customWidth="1"/>
    <col min="4" max="4" width="17" customWidth="1"/>
    <col min="5" max="5" width="19" customWidth="1"/>
    <col min="6" max="6" width="18" customWidth="1"/>
    <col min="7" max="7" width="19" customWidth="1"/>
    <col min="8" max="8" width="17" customWidth="1"/>
    <col min="9" max="9" width="18" customWidth="1"/>
    <col min="10" max="10" width="20" customWidth="1"/>
    <col min="11" max="11" width="19" customWidth="1"/>
    <col min="12" max="12" width="22" customWidth="1"/>
    <col min="13" max="13" width="21" customWidth="1"/>
    <col min="14" max="14" width="19" customWidth="1"/>
    <col min="15" max="15" width="18" customWidth="1"/>
    <col min="16" max="16" width="15" customWidth="1"/>
    <col min="17" max="17" width="18" customWidth="1"/>
    <col min="18" max="18" width="14" customWidth="1"/>
    <col min="19" max="19" width="10" customWidth="1"/>
    <col min="20" max="20" width="14" customWidth="1"/>
    <col min="21" max="21" width="13" customWidth="1"/>
    <col min="22" max="22" width="11" customWidth="1"/>
    <col min="23" max="23" width="10" customWidth="1"/>
    <col min="24" max="26" width="13" customWidth="1"/>
    <col min="27" max="27" width="18" customWidth="1"/>
    <col min="28" max="28" width="16" customWidth="1"/>
    <col min="29" max="29" width="14" customWidth="1"/>
    <col min="30" max="30" width="11" customWidth="1"/>
    <col min="31" max="31" width="15" customWidth="1"/>
    <col min="32" max="32" width="14" customWidth="1"/>
    <col min="33" max="33" width="13" customWidth="1"/>
    <col min="34" max="34" width="14" customWidth="1"/>
    <col min="35" max="35" width="13" customWidth="1"/>
    <col min="36" max="36" width="15" customWidth="1"/>
    <col min="37" max="38" width="14" customWidth="1"/>
    <col min="39" max="39" width="11" customWidth="1"/>
    <col min="40" max="40" width="16" customWidth="1"/>
    <col min="41" max="41" width="11" customWidth="1"/>
    <col min="42" max="42" width="12" customWidth="1"/>
    <col min="43" max="44" width="17" customWidth="1"/>
    <col min="45" max="45" width="24" customWidth="1"/>
    <col min="46" max="46" width="16" customWidth="1"/>
    <col min="47" max="47" width="17" customWidth="1"/>
    <col min="48" max="48" width="14" customWidth="1"/>
    <col min="49" max="49" width="13" customWidth="1"/>
    <col min="50" max="50" width="10" customWidth="1"/>
    <col min="51" max="52" width="30" customWidth="1"/>
  </cols>
  <sheetData>
    <row r="1" spans="1:52" ht="30" customHeight="1" x14ac:dyDescent="0.35">
      <c r="A1" s="1" t="s">
        <v>675</v>
      </c>
      <c r="B1" s="1" t="s">
        <v>730</v>
      </c>
      <c r="C1" s="1" t="s">
        <v>731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640</v>
      </c>
      <c r="Q1" s="1" t="s">
        <v>686</v>
      </c>
      <c r="R1" s="1" t="s">
        <v>687</v>
      </c>
      <c r="S1" s="1" t="s">
        <v>688</v>
      </c>
      <c r="T1" s="1" t="s">
        <v>638</v>
      </c>
      <c r="U1" s="1" t="s">
        <v>689</v>
      </c>
      <c r="V1" s="1" t="s">
        <v>1</v>
      </c>
      <c r="W1" s="1" t="s">
        <v>744</v>
      </c>
      <c r="X1" s="1" t="s">
        <v>745</v>
      </c>
      <c r="Y1" s="1" t="s">
        <v>746</v>
      </c>
      <c r="Z1" s="1" t="s">
        <v>747</v>
      </c>
      <c r="AA1" s="1" t="s">
        <v>748</v>
      </c>
      <c r="AB1" s="1" t="s">
        <v>749</v>
      </c>
      <c r="AC1" s="1" t="s">
        <v>750</v>
      </c>
      <c r="AD1" s="1" t="s">
        <v>751</v>
      </c>
      <c r="AE1" s="1" t="s">
        <v>752</v>
      </c>
      <c r="AF1" s="1" t="s">
        <v>753</v>
      </c>
      <c r="AG1" s="1" t="s">
        <v>754</v>
      </c>
      <c r="AH1" s="1" t="s">
        <v>755</v>
      </c>
      <c r="AI1" s="1" t="s">
        <v>756</v>
      </c>
      <c r="AJ1" s="1" t="s">
        <v>757</v>
      </c>
      <c r="AK1" s="1" t="s">
        <v>91</v>
      </c>
      <c r="AL1" s="1" t="s">
        <v>92</v>
      </c>
      <c r="AM1" s="1" t="s">
        <v>758</v>
      </c>
      <c r="AN1" s="1" t="s">
        <v>759</v>
      </c>
      <c r="AO1" s="1" t="s">
        <v>760</v>
      </c>
      <c r="AP1" s="1" t="s">
        <v>761</v>
      </c>
      <c r="AQ1" s="1" t="s">
        <v>762</v>
      </c>
      <c r="AR1" s="1" t="s">
        <v>763</v>
      </c>
      <c r="AS1" s="1" t="s">
        <v>764</v>
      </c>
      <c r="AT1" s="1" t="s">
        <v>765</v>
      </c>
      <c r="AU1" s="1" t="s">
        <v>766</v>
      </c>
      <c r="AV1" s="1" t="s">
        <v>767</v>
      </c>
      <c r="AW1" s="1" t="s">
        <v>768</v>
      </c>
      <c r="AX1" s="1" t="s">
        <v>769</v>
      </c>
      <c r="AY1" s="1" t="s">
        <v>643</v>
      </c>
      <c r="AZ1" s="1" t="s">
        <v>4</v>
      </c>
    </row>
    <row r="2" spans="1:52" x14ac:dyDescent="0.35">
      <c r="A2" s="2" t="s">
        <v>644</v>
      </c>
      <c r="B2" s="2">
        <v>15.555999999999999</v>
      </c>
      <c r="C2" s="2">
        <v>1.6619999999999999</v>
      </c>
      <c r="F2" s="2">
        <v>439.27</v>
      </c>
      <c r="G2" s="2">
        <v>27.46</v>
      </c>
      <c r="J2" s="2">
        <v>11.358000000000001</v>
      </c>
      <c r="L2" s="2">
        <v>12.571999999999999</v>
      </c>
      <c r="N2" s="2">
        <v>2.3866000000000001</v>
      </c>
      <c r="P2" s="2" t="s">
        <v>645</v>
      </c>
      <c r="Q2" s="2" t="s">
        <v>694</v>
      </c>
      <c r="R2" s="2" t="s">
        <v>342</v>
      </c>
      <c r="S2" s="2">
        <v>1</v>
      </c>
      <c r="T2" s="2">
        <v>6</v>
      </c>
      <c r="U2" s="2">
        <v>16</v>
      </c>
      <c r="V2" s="2">
        <v>400</v>
      </c>
      <c r="W2" s="2">
        <v>132</v>
      </c>
      <c r="X2" s="3">
        <v>195563520</v>
      </c>
      <c r="Y2" s="3">
        <v>195563520</v>
      </c>
      <c r="Z2" s="2">
        <v>0</v>
      </c>
      <c r="AA2" s="2" t="s">
        <v>770</v>
      </c>
      <c r="AB2" s="2">
        <v>98.55</v>
      </c>
      <c r="AC2" s="2">
        <v>15330.2</v>
      </c>
      <c r="AD2" s="2">
        <v>15555.8</v>
      </c>
      <c r="AE2" s="2">
        <v>15884.6</v>
      </c>
      <c r="AF2" s="2">
        <v>17218.099999999999</v>
      </c>
      <c r="AG2" s="2">
        <v>1662.3</v>
      </c>
      <c r="AH2" s="2">
        <v>9.65</v>
      </c>
      <c r="AI2" s="2">
        <v>11.358000000000001</v>
      </c>
      <c r="AJ2" s="2">
        <v>12.571999999999999</v>
      </c>
      <c r="AK2" s="2">
        <v>27.106999999999999</v>
      </c>
      <c r="AL2" s="2">
        <v>25.512</v>
      </c>
      <c r="AM2" s="2">
        <v>1.595</v>
      </c>
      <c r="AN2" s="2">
        <v>466.73</v>
      </c>
      <c r="AO2" s="2">
        <v>439.27</v>
      </c>
      <c r="AP2" s="2">
        <v>27.46</v>
      </c>
      <c r="AQ2" s="2">
        <v>2.3866000000000001</v>
      </c>
      <c r="AR2" s="2">
        <v>27.332000000000001</v>
      </c>
      <c r="AS2" s="2">
        <v>2.1741000000000001</v>
      </c>
      <c r="AT2" s="2">
        <v>1</v>
      </c>
      <c r="AU2" s="2">
        <v>1</v>
      </c>
      <c r="AV2" s="2">
        <v>3</v>
      </c>
      <c r="AW2" s="3">
        <v>3485</v>
      </c>
      <c r="AX2" s="2">
        <v>60.01</v>
      </c>
      <c r="AY2" s="2" t="s">
        <v>771</v>
      </c>
      <c r="AZ2" s="2" t="s">
        <v>772</v>
      </c>
    </row>
    <row r="3" spans="1:52" x14ac:dyDescent="0.35">
      <c r="A3" s="2" t="s">
        <v>647</v>
      </c>
      <c r="B3" s="2">
        <v>8.2750000000000004</v>
      </c>
      <c r="C3" s="2">
        <v>2.339</v>
      </c>
      <c r="F3" s="2">
        <v>280.72000000000003</v>
      </c>
      <c r="G3" s="2">
        <v>34.24</v>
      </c>
      <c r="J3" s="2">
        <v>18.425999999999998</v>
      </c>
      <c r="L3" s="2">
        <v>23.634</v>
      </c>
      <c r="N3" s="2">
        <v>1.6106</v>
      </c>
      <c r="P3" s="2" t="s">
        <v>645</v>
      </c>
      <c r="Q3" s="2" t="s">
        <v>697</v>
      </c>
      <c r="R3" s="2" t="s">
        <v>337</v>
      </c>
      <c r="S3" s="2">
        <v>1</v>
      </c>
      <c r="T3" s="2">
        <v>10</v>
      </c>
      <c r="U3" s="2">
        <v>32</v>
      </c>
      <c r="V3" s="2">
        <v>375</v>
      </c>
      <c r="W3" s="2">
        <v>132</v>
      </c>
      <c r="X3" s="3">
        <v>195563520</v>
      </c>
      <c r="Y3" s="3">
        <v>195563520</v>
      </c>
      <c r="Z3" s="2">
        <v>0</v>
      </c>
      <c r="AA3" s="2" t="s">
        <v>770</v>
      </c>
      <c r="AB3" s="2">
        <v>98.81</v>
      </c>
      <c r="AC3" s="2">
        <v>8176.1</v>
      </c>
      <c r="AD3" s="2">
        <v>8274.6</v>
      </c>
      <c r="AE3" s="3">
        <v>9062</v>
      </c>
      <c r="AF3" s="2">
        <v>10613.7</v>
      </c>
      <c r="AG3" s="2">
        <v>2339.1</v>
      </c>
      <c r="AH3" s="2">
        <v>22.04</v>
      </c>
      <c r="AI3" s="2">
        <v>18.425999999999998</v>
      </c>
      <c r="AJ3" s="2">
        <v>23.634</v>
      </c>
      <c r="AK3" s="2">
        <v>29.675000000000001</v>
      </c>
      <c r="AL3" s="2">
        <v>26.449000000000002</v>
      </c>
      <c r="AM3" s="2">
        <v>3.226</v>
      </c>
      <c r="AN3" s="2">
        <v>314.95999999999998</v>
      </c>
      <c r="AO3" s="2">
        <v>280.72000000000003</v>
      </c>
      <c r="AP3" s="2">
        <v>34.24</v>
      </c>
      <c r="AQ3" s="2">
        <v>1.6106</v>
      </c>
      <c r="AR3" s="2">
        <v>29.79</v>
      </c>
      <c r="AS3" s="2">
        <v>1.2605</v>
      </c>
      <c r="AT3" s="2">
        <v>1</v>
      </c>
      <c r="AU3" s="2">
        <v>1</v>
      </c>
      <c r="AV3" s="2">
        <v>3</v>
      </c>
      <c r="AW3" s="3">
        <v>5654</v>
      </c>
      <c r="AX3" s="2">
        <v>60.01</v>
      </c>
      <c r="AY3" s="2" t="s">
        <v>773</v>
      </c>
      <c r="AZ3" s="2" t="s">
        <v>772</v>
      </c>
    </row>
    <row r="4" spans="1:52" x14ac:dyDescent="0.35">
      <c r="A4" s="2" t="s">
        <v>664</v>
      </c>
      <c r="D4" s="2">
        <v>7.85</v>
      </c>
      <c r="E4" s="2">
        <v>1.82</v>
      </c>
      <c r="H4" s="2">
        <v>258.91000000000003</v>
      </c>
      <c r="I4" s="2">
        <v>33</v>
      </c>
      <c r="K4" s="2">
        <v>20.222000000000001</v>
      </c>
      <c r="M4" s="2">
        <v>24.911999999999999</v>
      </c>
      <c r="O4" s="2">
        <v>1.4926999999999999</v>
      </c>
      <c r="P4" s="2" t="s">
        <v>649</v>
      </c>
      <c r="Q4" s="2" t="s">
        <v>699</v>
      </c>
      <c r="R4" s="2" t="s">
        <v>342</v>
      </c>
      <c r="S4" s="2">
        <v>2</v>
      </c>
      <c r="T4" s="2">
        <v>12</v>
      </c>
      <c r="U4" s="2">
        <v>32</v>
      </c>
      <c r="V4" s="2">
        <v>394</v>
      </c>
      <c r="W4" s="2">
        <v>132</v>
      </c>
      <c r="X4" s="3">
        <v>195563520</v>
      </c>
      <c r="Y4" s="3">
        <v>195563520</v>
      </c>
      <c r="Z4" s="2">
        <v>0</v>
      </c>
      <c r="AA4" s="2" t="s">
        <v>774</v>
      </c>
      <c r="AB4" s="2">
        <v>99.13</v>
      </c>
      <c r="AC4" s="2">
        <v>7781.9</v>
      </c>
      <c r="AD4" s="2">
        <v>7850.2</v>
      </c>
      <c r="AE4" s="2">
        <v>8589.9</v>
      </c>
      <c r="AF4" s="2">
        <v>9670.7000000000007</v>
      </c>
      <c r="AG4" s="2">
        <v>1820.5</v>
      </c>
      <c r="AH4" s="2">
        <v>18.82</v>
      </c>
      <c r="AI4" s="2">
        <v>20.222000000000001</v>
      </c>
      <c r="AJ4" s="2">
        <v>24.911999999999999</v>
      </c>
      <c r="AK4" s="2">
        <v>30.184999999999999</v>
      </c>
      <c r="AL4" s="2">
        <v>26.773</v>
      </c>
      <c r="AM4" s="2">
        <v>3.4119999999999999</v>
      </c>
      <c r="AN4" s="2">
        <v>291.91000000000003</v>
      </c>
      <c r="AO4" s="2">
        <v>258.91000000000003</v>
      </c>
      <c r="AP4" s="2">
        <v>33</v>
      </c>
      <c r="AQ4" s="2">
        <v>1.4926999999999999</v>
      </c>
      <c r="AR4" s="2">
        <v>30.744</v>
      </c>
      <c r="AS4" s="2">
        <v>1.2341</v>
      </c>
      <c r="AT4" s="2">
        <v>0.98850000000000005</v>
      </c>
      <c r="AU4" s="2">
        <v>1</v>
      </c>
      <c r="AV4" s="2">
        <v>3</v>
      </c>
      <c r="AW4" s="3">
        <v>6205</v>
      </c>
      <c r="AX4" s="2">
        <v>60.01</v>
      </c>
      <c r="AY4" s="2" t="s">
        <v>775</v>
      </c>
      <c r="AZ4" s="2" t="s">
        <v>772</v>
      </c>
    </row>
    <row r="5" spans="1:52" x14ac:dyDescent="0.35">
      <c r="A5" s="2" t="s">
        <v>650</v>
      </c>
      <c r="B5" s="2">
        <v>5.9740000000000002</v>
      </c>
      <c r="C5" s="2">
        <v>2.6930000000000001</v>
      </c>
      <c r="F5" s="2">
        <v>235.92</v>
      </c>
      <c r="G5" s="2">
        <v>24.54</v>
      </c>
      <c r="J5" s="2">
        <v>22.564</v>
      </c>
      <c r="L5" s="2">
        <v>32.737000000000002</v>
      </c>
      <c r="N5" s="2">
        <v>1.3318000000000001</v>
      </c>
      <c r="P5" s="2" t="s">
        <v>645</v>
      </c>
      <c r="Q5" s="2" t="s">
        <v>701</v>
      </c>
      <c r="R5" s="2" t="s">
        <v>332</v>
      </c>
      <c r="S5" s="2">
        <v>1</v>
      </c>
      <c r="T5" s="2">
        <v>13</v>
      </c>
      <c r="U5" s="2">
        <v>48</v>
      </c>
      <c r="V5" s="2">
        <v>350</v>
      </c>
      <c r="W5" s="2">
        <v>132</v>
      </c>
      <c r="X5" s="3">
        <v>195563520</v>
      </c>
      <c r="Y5" s="3">
        <v>197061120</v>
      </c>
      <c r="Z5" s="2">
        <v>0.76</v>
      </c>
      <c r="AA5" s="2" t="s">
        <v>770</v>
      </c>
      <c r="AB5" s="2">
        <v>98.51</v>
      </c>
      <c r="AC5" s="2">
        <v>5884.8</v>
      </c>
      <c r="AD5" s="2">
        <v>5973.8</v>
      </c>
      <c r="AE5" s="2">
        <v>6951.2</v>
      </c>
      <c r="AF5" s="2">
        <v>8667.1</v>
      </c>
      <c r="AG5" s="2">
        <v>2693.3</v>
      </c>
      <c r="AH5" s="2">
        <v>31.07</v>
      </c>
      <c r="AI5" s="2">
        <v>22.564</v>
      </c>
      <c r="AJ5" s="2">
        <v>32.737000000000002</v>
      </c>
      <c r="AK5" s="2">
        <v>30.050999999999998</v>
      </c>
      <c r="AL5" s="2">
        <v>27.22</v>
      </c>
      <c r="AM5" s="2">
        <v>2.831</v>
      </c>
      <c r="AN5" s="2">
        <v>260.45999999999998</v>
      </c>
      <c r="AO5" s="2">
        <v>235.92</v>
      </c>
      <c r="AP5" s="2">
        <v>24.54</v>
      </c>
      <c r="AQ5" s="2">
        <v>1.3318000000000001</v>
      </c>
      <c r="AR5" s="2">
        <v>32.234999999999999</v>
      </c>
      <c r="AS5" s="2">
        <v>0.98470000000000002</v>
      </c>
      <c r="AT5" s="2">
        <v>1</v>
      </c>
      <c r="AU5" s="2">
        <v>1</v>
      </c>
      <c r="AV5" s="2">
        <v>3</v>
      </c>
      <c r="AW5" s="3">
        <v>6923</v>
      </c>
      <c r="AX5" s="2">
        <v>60</v>
      </c>
      <c r="AY5" s="2" t="s">
        <v>776</v>
      </c>
      <c r="AZ5" s="2" t="s">
        <v>772</v>
      </c>
    </row>
    <row r="6" spans="1:52" x14ac:dyDescent="0.35">
      <c r="A6" s="2" t="s">
        <v>652</v>
      </c>
      <c r="B6" s="2">
        <v>4.7709999999999999</v>
      </c>
      <c r="C6" s="2">
        <v>3.4470000000000001</v>
      </c>
      <c r="F6" s="2">
        <v>249.96</v>
      </c>
      <c r="G6" s="2">
        <v>33.229999999999997</v>
      </c>
      <c r="J6" s="2">
        <v>23.795999999999999</v>
      </c>
      <c r="L6" s="2">
        <v>40.987000000000002</v>
      </c>
      <c r="N6" s="2">
        <v>1.4480999999999999</v>
      </c>
      <c r="P6" s="2" t="s">
        <v>645</v>
      </c>
      <c r="Q6" s="2" t="s">
        <v>703</v>
      </c>
      <c r="R6" s="2" t="s">
        <v>314</v>
      </c>
      <c r="S6" s="2">
        <v>1</v>
      </c>
      <c r="T6" s="2">
        <v>17</v>
      </c>
      <c r="U6" s="2">
        <v>64</v>
      </c>
      <c r="V6" s="2">
        <v>325</v>
      </c>
      <c r="W6" s="2">
        <v>132</v>
      </c>
      <c r="X6" s="3">
        <v>195563520</v>
      </c>
      <c r="Y6" s="3">
        <v>195563520</v>
      </c>
      <c r="Z6" s="2">
        <v>0</v>
      </c>
      <c r="AA6" s="2" t="s">
        <v>770</v>
      </c>
      <c r="AB6" s="2">
        <v>98.86</v>
      </c>
      <c r="AC6" s="3">
        <v>4717</v>
      </c>
      <c r="AD6" s="2">
        <v>4771.3999999999996</v>
      </c>
      <c r="AE6" s="2">
        <v>6135.1</v>
      </c>
      <c r="AF6" s="2">
        <v>8218.2000000000007</v>
      </c>
      <c r="AG6" s="2">
        <v>3446.8</v>
      </c>
      <c r="AH6" s="2">
        <v>41.94</v>
      </c>
      <c r="AI6" s="2">
        <v>23.795999999999999</v>
      </c>
      <c r="AJ6" s="2">
        <v>40.987000000000002</v>
      </c>
      <c r="AK6" s="2">
        <v>34.46</v>
      </c>
      <c r="AL6" s="2">
        <v>30.416</v>
      </c>
      <c r="AM6" s="2">
        <v>4.0439999999999996</v>
      </c>
      <c r="AN6" s="2">
        <v>283.2</v>
      </c>
      <c r="AO6" s="2">
        <v>249.96</v>
      </c>
      <c r="AP6" s="2">
        <v>33.229999999999997</v>
      </c>
      <c r="AQ6" s="2">
        <v>1.4480999999999999</v>
      </c>
      <c r="AR6" s="2">
        <v>36.286000000000001</v>
      </c>
      <c r="AS6" s="2">
        <v>0.88529999999999998</v>
      </c>
      <c r="AT6" s="2">
        <v>1</v>
      </c>
      <c r="AU6" s="2">
        <v>1</v>
      </c>
      <c r="AV6" s="2">
        <v>3</v>
      </c>
      <c r="AW6" s="3">
        <v>7301</v>
      </c>
      <c r="AX6" s="2">
        <v>60</v>
      </c>
      <c r="AY6" s="2" t="s">
        <v>777</v>
      </c>
      <c r="AZ6" s="2" t="s">
        <v>772</v>
      </c>
    </row>
    <row r="7" spans="1:52" x14ac:dyDescent="0.35">
      <c r="A7" s="2" t="s">
        <v>717</v>
      </c>
      <c r="D7" s="2">
        <v>5.1749999999999998</v>
      </c>
      <c r="E7" s="2">
        <v>2.64</v>
      </c>
      <c r="H7" s="2">
        <v>243.5</v>
      </c>
      <c r="I7" s="2">
        <v>32.340000000000003</v>
      </c>
      <c r="K7" s="2">
        <v>25.024999999999999</v>
      </c>
      <c r="M7" s="2">
        <v>37.789000000000001</v>
      </c>
      <c r="O7" s="2">
        <v>1.4105000000000001</v>
      </c>
      <c r="P7" s="2" t="s">
        <v>649</v>
      </c>
      <c r="Q7" s="2" t="s">
        <v>718</v>
      </c>
      <c r="R7" s="2" t="s">
        <v>342</v>
      </c>
      <c r="S7" s="2">
        <v>3</v>
      </c>
      <c r="T7" s="2">
        <v>18</v>
      </c>
      <c r="U7" s="2">
        <v>48</v>
      </c>
      <c r="V7" s="2">
        <v>399</v>
      </c>
      <c r="W7" s="2">
        <v>132</v>
      </c>
      <c r="X7" s="3">
        <v>195563520</v>
      </c>
      <c r="Y7" s="3">
        <v>195563520</v>
      </c>
      <c r="Z7" s="2">
        <v>0</v>
      </c>
      <c r="AA7" s="2" t="s">
        <v>778</v>
      </c>
      <c r="AB7" s="2">
        <v>98.99</v>
      </c>
      <c r="AC7" s="2">
        <v>5122.8999999999996</v>
      </c>
      <c r="AD7" s="2">
        <v>5175.2</v>
      </c>
      <c r="AE7" s="3">
        <v>6367</v>
      </c>
      <c r="AF7" s="2">
        <v>7814.8</v>
      </c>
      <c r="AG7" s="2">
        <v>2639.6</v>
      </c>
      <c r="AH7" s="2">
        <v>33.78</v>
      </c>
      <c r="AI7" s="2">
        <v>25.024999999999999</v>
      </c>
      <c r="AJ7" s="2">
        <v>37.789000000000001</v>
      </c>
      <c r="AK7" s="2">
        <v>35.296999999999997</v>
      </c>
      <c r="AL7" s="2">
        <v>31.158999999999999</v>
      </c>
      <c r="AM7" s="2">
        <v>4.1379999999999999</v>
      </c>
      <c r="AN7" s="2">
        <v>275.83999999999997</v>
      </c>
      <c r="AO7" s="2">
        <v>243.5</v>
      </c>
      <c r="AP7" s="2">
        <v>32.340000000000003</v>
      </c>
      <c r="AQ7" s="2">
        <v>1.4105000000000001</v>
      </c>
      <c r="AR7" s="2">
        <v>37.179000000000002</v>
      </c>
      <c r="AS7" s="2">
        <v>0.9839</v>
      </c>
      <c r="AT7" s="2">
        <v>0.99209999999999998</v>
      </c>
      <c r="AU7" s="2">
        <v>1</v>
      </c>
      <c r="AV7" s="2">
        <v>3</v>
      </c>
      <c r="AW7" s="3">
        <v>7678</v>
      </c>
      <c r="AX7" s="2">
        <v>60</v>
      </c>
      <c r="AY7" s="2" t="s">
        <v>779</v>
      </c>
      <c r="AZ7" s="2" t="s">
        <v>772</v>
      </c>
    </row>
    <row r="8" spans="1:52" x14ac:dyDescent="0.35">
      <c r="A8" s="2" t="s">
        <v>720</v>
      </c>
      <c r="D8" s="2">
        <v>4.3040000000000003</v>
      </c>
      <c r="E8" s="2">
        <v>2.7250000000000001</v>
      </c>
      <c r="H8" s="2">
        <v>224.87</v>
      </c>
      <c r="I8" s="2">
        <v>30.45</v>
      </c>
      <c r="K8" s="2">
        <v>27.818999999999999</v>
      </c>
      <c r="M8" s="2">
        <v>45.433999999999997</v>
      </c>
      <c r="O8" s="2">
        <v>1.3056000000000001</v>
      </c>
      <c r="P8" s="2" t="s">
        <v>649</v>
      </c>
      <c r="Q8" s="2" t="s">
        <v>721</v>
      </c>
      <c r="R8" s="2" t="s">
        <v>337</v>
      </c>
      <c r="S8" s="2">
        <v>2</v>
      </c>
      <c r="T8" s="2">
        <v>20</v>
      </c>
      <c r="U8" s="2">
        <v>64</v>
      </c>
      <c r="V8" s="2">
        <v>361</v>
      </c>
      <c r="W8" s="2">
        <v>132</v>
      </c>
      <c r="X8" s="3">
        <v>195563520</v>
      </c>
      <c r="Y8" s="3">
        <v>195563520</v>
      </c>
      <c r="Z8" s="2">
        <v>0</v>
      </c>
      <c r="AA8" s="2" t="s">
        <v>774</v>
      </c>
      <c r="AB8" s="2">
        <v>98.66</v>
      </c>
      <c r="AC8" s="2">
        <v>4246.6000000000004</v>
      </c>
      <c r="AD8" s="2">
        <v>4304.3</v>
      </c>
      <c r="AE8" s="2">
        <v>5487.5</v>
      </c>
      <c r="AF8" s="2">
        <v>7029.8</v>
      </c>
      <c r="AG8" s="2">
        <v>2725.5</v>
      </c>
      <c r="AH8" s="2">
        <v>38.770000000000003</v>
      </c>
      <c r="AI8" s="2">
        <v>27.818999999999999</v>
      </c>
      <c r="AJ8" s="2">
        <v>45.433999999999997</v>
      </c>
      <c r="AK8" s="2">
        <v>36.32</v>
      </c>
      <c r="AL8" s="2">
        <v>31.988</v>
      </c>
      <c r="AM8" s="2">
        <v>4.3319999999999999</v>
      </c>
      <c r="AN8" s="2">
        <v>255.32</v>
      </c>
      <c r="AO8" s="2">
        <v>224.87</v>
      </c>
      <c r="AP8" s="2">
        <v>30.45</v>
      </c>
      <c r="AQ8" s="2">
        <v>1.3056000000000001</v>
      </c>
      <c r="AR8" s="2">
        <v>38.232999999999997</v>
      </c>
      <c r="AS8" s="2">
        <v>0.84150000000000003</v>
      </c>
      <c r="AT8" s="2">
        <v>0.98860000000000003</v>
      </c>
      <c r="AU8" s="2">
        <v>1</v>
      </c>
      <c r="AV8" s="2">
        <v>3</v>
      </c>
      <c r="AW8" s="3">
        <v>8536</v>
      </c>
      <c r="AX8" s="2">
        <v>60.01</v>
      </c>
      <c r="AY8" s="2" t="s">
        <v>780</v>
      </c>
      <c r="AZ8" s="2" t="s">
        <v>772</v>
      </c>
    </row>
    <row r="9" spans="1:52" x14ac:dyDescent="0.35">
      <c r="A9" s="2" t="s">
        <v>654</v>
      </c>
      <c r="B9" s="2">
        <v>3.4980000000000002</v>
      </c>
      <c r="C9" s="2">
        <v>4.7290000000000001</v>
      </c>
      <c r="F9" s="2">
        <v>264.93</v>
      </c>
      <c r="G9" s="2">
        <v>19.690000000000001</v>
      </c>
      <c r="J9" s="2">
        <v>23.771999999999998</v>
      </c>
      <c r="L9" s="2">
        <v>55.908999999999999</v>
      </c>
      <c r="N9" s="2">
        <v>1.4553</v>
      </c>
      <c r="P9" s="2" t="s">
        <v>645</v>
      </c>
      <c r="Q9" s="2" t="s">
        <v>705</v>
      </c>
      <c r="R9" s="2" t="s">
        <v>329</v>
      </c>
      <c r="S9" s="2">
        <v>1</v>
      </c>
      <c r="T9" s="2">
        <v>24</v>
      </c>
      <c r="U9" s="2">
        <v>96</v>
      </c>
      <c r="V9" s="2">
        <v>300</v>
      </c>
      <c r="W9" s="2">
        <v>132</v>
      </c>
      <c r="X9" s="3">
        <v>195563520</v>
      </c>
      <c r="Y9" s="3">
        <v>198789120</v>
      </c>
      <c r="Z9" s="2">
        <v>1.623</v>
      </c>
      <c r="AA9" s="2" t="s">
        <v>770</v>
      </c>
      <c r="AB9" s="2">
        <v>99</v>
      </c>
      <c r="AC9" s="2">
        <v>3462.9</v>
      </c>
      <c r="AD9" s="2">
        <v>3497.9</v>
      </c>
      <c r="AE9" s="2">
        <v>5395.4</v>
      </c>
      <c r="AF9" s="2">
        <v>8226.7999999999993</v>
      </c>
      <c r="AG9" s="2">
        <v>4728.8999999999996</v>
      </c>
      <c r="AH9" s="2">
        <v>57.48</v>
      </c>
      <c r="AI9" s="2">
        <v>23.771999999999998</v>
      </c>
      <c r="AJ9" s="2">
        <v>55.908999999999999</v>
      </c>
      <c r="AK9" s="2">
        <v>34.595999999999997</v>
      </c>
      <c r="AL9" s="2">
        <v>32.203000000000003</v>
      </c>
      <c r="AM9" s="2">
        <v>2.3929999999999998</v>
      </c>
      <c r="AN9" s="2">
        <v>284.61</v>
      </c>
      <c r="AO9" s="2">
        <v>264.93</v>
      </c>
      <c r="AP9" s="2">
        <v>19.690000000000001</v>
      </c>
      <c r="AQ9" s="2">
        <v>1.4553</v>
      </c>
      <c r="AR9" s="2">
        <v>40.43</v>
      </c>
      <c r="AS9" s="2">
        <v>0.72309999999999997</v>
      </c>
      <c r="AT9" s="2">
        <v>1</v>
      </c>
      <c r="AU9" s="2">
        <v>1</v>
      </c>
      <c r="AV9" s="2">
        <v>3</v>
      </c>
      <c r="AW9" s="3">
        <v>7294</v>
      </c>
      <c r="AX9" s="2">
        <v>60.01</v>
      </c>
      <c r="AY9" s="2" t="s">
        <v>781</v>
      </c>
      <c r="AZ9" s="2" t="s">
        <v>772</v>
      </c>
    </row>
    <row r="10" spans="1:52" x14ac:dyDescent="0.35">
      <c r="A10" s="2" t="s">
        <v>666</v>
      </c>
      <c r="D10" s="2">
        <v>4.1429999999999998</v>
      </c>
      <c r="E10" s="2">
        <v>2.6739999999999999</v>
      </c>
      <c r="H10" s="2">
        <v>222.67</v>
      </c>
      <c r="I10" s="2">
        <v>28.95</v>
      </c>
      <c r="K10" s="2">
        <v>28.689</v>
      </c>
      <c r="M10" s="2">
        <v>47.203000000000003</v>
      </c>
      <c r="O10" s="2">
        <v>1.2867</v>
      </c>
      <c r="P10" s="2" t="s">
        <v>649</v>
      </c>
      <c r="Q10" s="2" t="s">
        <v>707</v>
      </c>
      <c r="R10" s="2" t="s">
        <v>342</v>
      </c>
      <c r="S10" s="2">
        <v>4</v>
      </c>
      <c r="T10" s="2">
        <v>24</v>
      </c>
      <c r="U10" s="2">
        <v>64</v>
      </c>
      <c r="V10" s="2">
        <v>374</v>
      </c>
      <c r="W10" s="2">
        <v>132</v>
      </c>
      <c r="X10" s="3">
        <v>195563520</v>
      </c>
      <c r="Y10" s="3">
        <v>195563520</v>
      </c>
      <c r="Z10" s="2">
        <v>0</v>
      </c>
      <c r="AA10" s="2" t="s">
        <v>782</v>
      </c>
      <c r="AB10" s="2">
        <v>98.95</v>
      </c>
      <c r="AC10" s="2">
        <v>4099.6000000000004</v>
      </c>
      <c r="AD10" s="2">
        <v>4143.1000000000004</v>
      </c>
      <c r="AE10" s="2">
        <v>5623.2</v>
      </c>
      <c r="AF10" s="2">
        <v>6816.7</v>
      </c>
      <c r="AG10" s="2">
        <v>2673.6</v>
      </c>
      <c r="AH10" s="2">
        <v>39.22</v>
      </c>
      <c r="AI10" s="2">
        <v>28.689</v>
      </c>
      <c r="AJ10" s="2">
        <v>47.203000000000003</v>
      </c>
      <c r="AK10" s="2">
        <v>36.912999999999997</v>
      </c>
      <c r="AL10" s="2">
        <v>32.665999999999997</v>
      </c>
      <c r="AM10" s="2">
        <v>4.2469999999999999</v>
      </c>
      <c r="AN10" s="2">
        <v>251.62</v>
      </c>
      <c r="AO10" s="2">
        <v>222.67</v>
      </c>
      <c r="AP10" s="2">
        <v>28.95</v>
      </c>
      <c r="AQ10" s="2">
        <v>1.2867</v>
      </c>
      <c r="AR10" s="2">
        <v>40.344999999999999</v>
      </c>
      <c r="AS10" s="2">
        <v>0.85470000000000002</v>
      </c>
      <c r="AT10" s="2">
        <v>0.96289999999999998</v>
      </c>
      <c r="AU10" s="2">
        <v>0.99970000000000003</v>
      </c>
      <c r="AV10" s="2">
        <v>3</v>
      </c>
      <c r="AW10" s="3">
        <v>8802</v>
      </c>
      <c r="AX10" s="2">
        <v>60</v>
      </c>
      <c r="AY10" s="2" t="s">
        <v>783</v>
      </c>
      <c r="AZ10" s="2" t="s">
        <v>772</v>
      </c>
    </row>
    <row r="11" spans="1:52" x14ac:dyDescent="0.35">
      <c r="A11" s="2" t="s">
        <v>668</v>
      </c>
      <c r="D11" s="2">
        <v>3.0590000000000002</v>
      </c>
      <c r="E11" s="2">
        <v>3.7109999999999999</v>
      </c>
      <c r="H11" s="2">
        <v>229.4</v>
      </c>
      <c r="I11" s="2">
        <v>30.94</v>
      </c>
      <c r="K11" s="2">
        <v>28.888000000000002</v>
      </c>
      <c r="M11" s="2">
        <v>63.93</v>
      </c>
      <c r="O11" s="2">
        <v>1.3311999999999999</v>
      </c>
      <c r="P11" s="2" t="s">
        <v>649</v>
      </c>
      <c r="Q11" s="2" t="s">
        <v>709</v>
      </c>
      <c r="R11" s="2" t="s">
        <v>332</v>
      </c>
      <c r="S11" s="2">
        <v>2</v>
      </c>
      <c r="T11" s="2">
        <v>26</v>
      </c>
      <c r="U11" s="2">
        <v>96</v>
      </c>
      <c r="V11" s="2">
        <v>341</v>
      </c>
      <c r="W11" s="2">
        <v>132</v>
      </c>
      <c r="X11" s="3">
        <v>195563520</v>
      </c>
      <c r="Y11" s="3">
        <v>197061120</v>
      </c>
      <c r="Z11" s="2">
        <v>0.76</v>
      </c>
      <c r="AA11" s="2" t="s">
        <v>774</v>
      </c>
      <c r="AB11" s="2">
        <v>98.73</v>
      </c>
      <c r="AC11" s="2">
        <v>3020.2</v>
      </c>
      <c r="AD11" s="3">
        <v>3059</v>
      </c>
      <c r="AE11" s="2">
        <v>4766.7</v>
      </c>
      <c r="AF11" s="2">
        <v>6769.7</v>
      </c>
      <c r="AG11" s="2">
        <v>3710.7</v>
      </c>
      <c r="AH11" s="2">
        <v>54.81</v>
      </c>
      <c r="AI11" s="2">
        <v>28.888000000000002</v>
      </c>
      <c r="AJ11" s="2">
        <v>63.93</v>
      </c>
      <c r="AK11" s="2">
        <v>38.457000000000001</v>
      </c>
      <c r="AL11" s="2">
        <v>33.887</v>
      </c>
      <c r="AM11" s="2">
        <v>4.57</v>
      </c>
      <c r="AN11" s="2">
        <v>260.33999999999997</v>
      </c>
      <c r="AO11" s="2">
        <v>229.4</v>
      </c>
      <c r="AP11" s="2">
        <v>30.94</v>
      </c>
      <c r="AQ11" s="2">
        <v>1.3311999999999999</v>
      </c>
      <c r="AR11" s="2">
        <v>42.468000000000004</v>
      </c>
      <c r="AS11" s="2">
        <v>0.6643</v>
      </c>
      <c r="AT11" s="2">
        <v>0.99709999999999999</v>
      </c>
      <c r="AU11" s="2">
        <v>0.99990000000000001</v>
      </c>
      <c r="AV11" s="2">
        <v>3</v>
      </c>
      <c r="AW11" s="3">
        <v>8864</v>
      </c>
      <c r="AX11" s="2">
        <v>60.01</v>
      </c>
      <c r="AY11" s="2" t="s">
        <v>784</v>
      </c>
      <c r="AZ11" s="2" t="s">
        <v>772</v>
      </c>
    </row>
    <row r="12" spans="1:52" x14ac:dyDescent="0.35">
      <c r="A12" s="2" t="s">
        <v>670</v>
      </c>
      <c r="D12" s="2">
        <v>3.794</v>
      </c>
      <c r="E12" s="2">
        <v>3.0830000000000002</v>
      </c>
      <c r="H12" s="2">
        <v>232.29</v>
      </c>
      <c r="I12" s="2">
        <v>31.47</v>
      </c>
      <c r="K12" s="2">
        <v>28.434999999999999</v>
      </c>
      <c r="M12" s="2">
        <v>51.54</v>
      </c>
      <c r="O12" s="2">
        <v>1.3487</v>
      </c>
      <c r="P12" s="2" t="s">
        <v>649</v>
      </c>
      <c r="Q12" s="2" t="s">
        <v>710</v>
      </c>
      <c r="R12" s="2" t="s">
        <v>342</v>
      </c>
      <c r="S12" s="2">
        <v>5</v>
      </c>
      <c r="T12" s="2">
        <v>30</v>
      </c>
      <c r="U12" s="2">
        <v>80</v>
      </c>
      <c r="V12" s="2">
        <v>329</v>
      </c>
      <c r="W12" s="2">
        <v>132</v>
      </c>
      <c r="X12" s="3">
        <v>195563520</v>
      </c>
      <c r="Y12" s="3">
        <v>195563520</v>
      </c>
      <c r="Z12" s="2">
        <v>0</v>
      </c>
      <c r="AA12" s="2" t="s">
        <v>785</v>
      </c>
      <c r="AB12" s="2">
        <v>98.25</v>
      </c>
      <c r="AC12" s="3">
        <v>3728</v>
      </c>
      <c r="AD12" s="2">
        <v>3794.4</v>
      </c>
      <c r="AE12" s="2">
        <v>5617.3</v>
      </c>
      <c r="AF12" s="2">
        <v>6877.5</v>
      </c>
      <c r="AG12" s="2">
        <v>3083.1</v>
      </c>
      <c r="AH12" s="2">
        <v>44.83</v>
      </c>
      <c r="AI12" s="2">
        <v>28.434999999999999</v>
      </c>
      <c r="AJ12" s="2">
        <v>51.54</v>
      </c>
      <c r="AK12" s="2">
        <v>38.351999999999997</v>
      </c>
      <c r="AL12" s="2">
        <v>33.776000000000003</v>
      </c>
      <c r="AM12" s="2">
        <v>4.5759999999999996</v>
      </c>
      <c r="AN12" s="2">
        <v>263.77</v>
      </c>
      <c r="AO12" s="2">
        <v>232.29</v>
      </c>
      <c r="AP12" s="2">
        <v>31.47</v>
      </c>
      <c r="AQ12" s="2">
        <v>1.3487</v>
      </c>
      <c r="AR12" s="2">
        <v>42.186999999999998</v>
      </c>
      <c r="AS12" s="2">
        <v>0.81850000000000001</v>
      </c>
      <c r="AT12" s="2">
        <v>0.96789999999999998</v>
      </c>
      <c r="AU12" s="2">
        <v>0.99970000000000003</v>
      </c>
      <c r="AV12" s="2">
        <v>3</v>
      </c>
      <c r="AW12" s="3">
        <v>8725</v>
      </c>
      <c r="AX12" s="2">
        <v>60.01</v>
      </c>
      <c r="AY12" s="2" t="s">
        <v>786</v>
      </c>
      <c r="AZ12" s="2" t="s">
        <v>772</v>
      </c>
    </row>
    <row r="13" spans="1:52" x14ac:dyDescent="0.35">
      <c r="A13" s="2" t="s">
        <v>672</v>
      </c>
      <c r="D13" s="2">
        <v>2.9380000000000002</v>
      </c>
      <c r="E13" s="2">
        <v>4.0970000000000004</v>
      </c>
      <c r="H13" s="2">
        <v>242.75</v>
      </c>
      <c r="I13" s="2">
        <v>32.450000000000003</v>
      </c>
      <c r="K13" s="2">
        <v>27.797999999999998</v>
      </c>
      <c r="M13" s="2">
        <v>66.566000000000003</v>
      </c>
      <c r="O13" s="2">
        <v>1.4072</v>
      </c>
      <c r="P13" s="2" t="s">
        <v>649</v>
      </c>
      <c r="Q13" s="2" t="s">
        <v>712</v>
      </c>
      <c r="R13" s="2" t="s">
        <v>337</v>
      </c>
      <c r="S13" s="2">
        <v>3</v>
      </c>
      <c r="T13" s="2">
        <v>30</v>
      </c>
      <c r="U13" s="2">
        <v>96</v>
      </c>
      <c r="V13" s="2">
        <v>354</v>
      </c>
      <c r="W13" s="2">
        <v>132</v>
      </c>
      <c r="X13" s="3">
        <v>195563520</v>
      </c>
      <c r="Y13" s="3">
        <v>195563520</v>
      </c>
      <c r="Z13" s="2">
        <v>0</v>
      </c>
      <c r="AA13" s="2" t="s">
        <v>778</v>
      </c>
      <c r="AB13" s="2">
        <v>98.27</v>
      </c>
      <c r="AC13" s="2">
        <v>2887.1</v>
      </c>
      <c r="AD13" s="2">
        <v>2937.9</v>
      </c>
      <c r="AE13" s="2">
        <v>5134.6000000000004</v>
      </c>
      <c r="AF13" s="2">
        <v>7035.1</v>
      </c>
      <c r="AG13" s="2">
        <v>4097.2</v>
      </c>
      <c r="AH13" s="2">
        <v>58.24</v>
      </c>
      <c r="AI13" s="2">
        <v>27.797999999999998</v>
      </c>
      <c r="AJ13" s="2">
        <v>66.566000000000003</v>
      </c>
      <c r="AK13" s="2">
        <v>39.118000000000002</v>
      </c>
      <c r="AL13" s="2">
        <v>34.506</v>
      </c>
      <c r="AM13" s="2">
        <v>4.6120000000000001</v>
      </c>
      <c r="AN13" s="2">
        <v>275.2</v>
      </c>
      <c r="AO13" s="2">
        <v>242.75</v>
      </c>
      <c r="AP13" s="2">
        <v>32.450000000000003</v>
      </c>
      <c r="AQ13" s="2">
        <v>1.4072</v>
      </c>
      <c r="AR13" s="2">
        <v>43.515999999999998</v>
      </c>
      <c r="AS13" s="2">
        <v>0.65369999999999995</v>
      </c>
      <c r="AT13" s="2">
        <v>0.99739999999999995</v>
      </c>
      <c r="AU13" s="2">
        <v>1</v>
      </c>
      <c r="AV13" s="2">
        <v>3</v>
      </c>
      <c r="AW13" s="3">
        <v>8529</v>
      </c>
      <c r="AX13" s="2">
        <v>60</v>
      </c>
      <c r="AY13" s="2" t="s">
        <v>787</v>
      </c>
      <c r="AZ13" s="2" t="s">
        <v>772</v>
      </c>
    </row>
    <row r="14" spans="1:52" x14ac:dyDescent="0.35">
      <c r="A14" s="2" t="s">
        <v>657</v>
      </c>
      <c r="B14" s="2">
        <v>3.0840000000000001</v>
      </c>
      <c r="C14" s="2">
        <v>6.5650000000000004</v>
      </c>
      <c r="F14" s="2">
        <v>319.37</v>
      </c>
      <c r="G14" s="2">
        <v>22.88</v>
      </c>
      <c r="J14" s="2">
        <v>20.268999999999998</v>
      </c>
      <c r="L14" s="2">
        <v>63.42</v>
      </c>
      <c r="N14" s="2">
        <v>1.7501</v>
      </c>
      <c r="P14" s="2" t="s">
        <v>645</v>
      </c>
      <c r="Q14" s="2" t="s">
        <v>714</v>
      </c>
      <c r="R14" s="2" t="s">
        <v>325</v>
      </c>
      <c r="S14" s="2">
        <v>1</v>
      </c>
      <c r="T14" s="2">
        <v>32</v>
      </c>
      <c r="U14" s="2">
        <v>128</v>
      </c>
      <c r="V14" s="2">
        <v>250</v>
      </c>
      <c r="W14" s="2">
        <v>132</v>
      </c>
      <c r="X14" s="3">
        <v>195563520</v>
      </c>
      <c r="Y14" s="3">
        <v>195563520</v>
      </c>
      <c r="Z14" s="2">
        <v>0</v>
      </c>
      <c r="AA14" s="2" t="s">
        <v>770</v>
      </c>
      <c r="AB14" s="2">
        <v>99.43</v>
      </c>
      <c r="AC14" s="3">
        <v>3066</v>
      </c>
      <c r="AD14" s="2">
        <v>3083.6</v>
      </c>
      <c r="AE14" s="2">
        <v>5612.3</v>
      </c>
      <c r="AF14" s="2">
        <v>9648.5</v>
      </c>
      <c r="AG14" s="2">
        <v>6564.9</v>
      </c>
      <c r="AH14" s="2">
        <v>68.040000000000006</v>
      </c>
      <c r="AI14" s="2">
        <v>20.268999999999998</v>
      </c>
      <c r="AJ14" s="2">
        <v>63.42</v>
      </c>
      <c r="AK14" s="2">
        <v>35.472000000000001</v>
      </c>
      <c r="AL14" s="2">
        <v>33.100999999999999</v>
      </c>
      <c r="AM14" s="2">
        <v>2.371</v>
      </c>
      <c r="AN14" s="2">
        <v>342.25</v>
      </c>
      <c r="AO14" s="2">
        <v>319.37</v>
      </c>
      <c r="AP14" s="2">
        <v>22.88</v>
      </c>
      <c r="AQ14" s="2">
        <v>1.7501</v>
      </c>
      <c r="AR14" s="2">
        <v>42.271000000000001</v>
      </c>
      <c r="AS14" s="2">
        <v>0.66649999999999998</v>
      </c>
      <c r="AT14" s="2">
        <v>1</v>
      </c>
      <c r="AU14" s="2">
        <v>1</v>
      </c>
      <c r="AV14" s="2">
        <v>3</v>
      </c>
      <c r="AW14" s="3">
        <v>6219</v>
      </c>
      <c r="AX14" s="2">
        <v>60</v>
      </c>
      <c r="AY14" s="2" t="s">
        <v>788</v>
      </c>
      <c r="AZ14" s="2" t="s">
        <v>772</v>
      </c>
    </row>
  </sheetData>
  <autoFilter ref="A1:AZ14" xr:uid="{00000000-0009-0000-0000-000017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0CF0-8E09-4F4D-A247-E60C2FCE52BC}">
  <dimension ref="A1:AC14"/>
  <sheetViews>
    <sheetView workbookViewId="0">
      <pane ySplit="1" topLeftCell="A2" activePane="bottomLeft" state="frozen"/>
      <selection pane="bottomLeft" activeCell="C21" sqref="C21"/>
    </sheetView>
  </sheetViews>
  <sheetFormatPr defaultRowHeight="14.5" x14ac:dyDescent="0.35"/>
  <cols>
    <col min="1" max="1" width="18" customWidth="1"/>
    <col min="2" max="2" width="15" customWidth="1"/>
    <col min="3" max="3" width="14" customWidth="1"/>
    <col min="4" max="4" width="26" customWidth="1"/>
    <col min="5" max="5" width="27" customWidth="1"/>
    <col min="6" max="6" width="25" customWidth="1"/>
    <col min="7" max="7" width="26" customWidth="1"/>
    <col min="8" max="8" width="18" customWidth="1"/>
    <col min="9" max="9" width="17" customWidth="1"/>
    <col min="10" max="10" width="27" customWidth="1"/>
    <col min="11" max="11" width="26" customWidth="1"/>
    <col min="12" max="12" width="15" customWidth="1"/>
    <col min="13" max="13" width="18" customWidth="1"/>
    <col min="14" max="14" width="14" customWidth="1"/>
    <col min="15" max="15" width="10" customWidth="1"/>
    <col min="16" max="16" width="14" customWidth="1"/>
    <col min="17" max="17" width="13" customWidth="1"/>
    <col min="18" max="18" width="16" customWidth="1"/>
    <col min="19" max="19" width="11" customWidth="1"/>
    <col min="20" max="20" width="10" customWidth="1"/>
    <col min="21" max="21" width="13" customWidth="1"/>
    <col min="22" max="22" width="20" customWidth="1"/>
    <col min="23" max="23" width="25" customWidth="1"/>
    <col min="24" max="25" width="14" customWidth="1"/>
    <col min="26" max="26" width="11" customWidth="1"/>
    <col min="27" max="27" width="27" customWidth="1"/>
    <col min="28" max="29" width="30" customWidth="1"/>
  </cols>
  <sheetData>
    <row r="1" spans="1:29" ht="30" customHeight="1" x14ac:dyDescent="0.35">
      <c r="A1" s="1" t="s">
        <v>675</v>
      </c>
      <c r="B1" s="1" t="s">
        <v>676</v>
      </c>
      <c r="C1" s="1" t="s">
        <v>677</v>
      </c>
      <c r="D1" s="1" t="s">
        <v>678</v>
      </c>
      <c r="E1" s="1" t="s">
        <v>679</v>
      </c>
      <c r="F1" s="1" t="s">
        <v>680</v>
      </c>
      <c r="G1" s="1" t="s">
        <v>681</v>
      </c>
      <c r="H1" s="1" t="s">
        <v>682</v>
      </c>
      <c r="I1" s="1" t="s">
        <v>683</v>
      </c>
      <c r="J1" s="1" t="s">
        <v>684</v>
      </c>
      <c r="K1" s="1" t="s">
        <v>685</v>
      </c>
      <c r="L1" s="1" t="s">
        <v>640</v>
      </c>
      <c r="M1" s="1" t="s">
        <v>686</v>
      </c>
      <c r="N1" s="1" t="s">
        <v>687</v>
      </c>
      <c r="O1" s="1" t="s">
        <v>688</v>
      </c>
      <c r="P1" s="1" t="s">
        <v>638</v>
      </c>
      <c r="Q1" s="1" t="s">
        <v>689</v>
      </c>
      <c r="R1" s="1" t="s">
        <v>295</v>
      </c>
      <c r="S1" s="1" t="s">
        <v>1</v>
      </c>
      <c r="T1" s="1" t="s">
        <v>605</v>
      </c>
      <c r="U1" s="1" t="s">
        <v>690</v>
      </c>
      <c r="V1" s="1" t="s">
        <v>691</v>
      </c>
      <c r="W1" s="1" t="s">
        <v>692</v>
      </c>
      <c r="X1" s="1" t="s">
        <v>91</v>
      </c>
      <c r="Y1" s="1" t="s">
        <v>92</v>
      </c>
      <c r="Z1" s="1" t="s">
        <v>368</v>
      </c>
      <c r="AA1" s="1" t="s">
        <v>693</v>
      </c>
      <c r="AB1" s="1" t="s">
        <v>643</v>
      </c>
      <c r="AC1" s="1" t="s">
        <v>4</v>
      </c>
    </row>
    <row r="2" spans="1:29" x14ac:dyDescent="0.35">
      <c r="A2" s="2" t="s">
        <v>644</v>
      </c>
      <c r="B2" s="2">
        <v>12.615</v>
      </c>
      <c r="D2" s="2">
        <v>1.9997</v>
      </c>
      <c r="E2" s="2">
        <v>0.16689999999999999</v>
      </c>
      <c r="H2" s="2">
        <v>400</v>
      </c>
      <c r="J2" s="2">
        <v>2.1025</v>
      </c>
      <c r="L2" s="2" t="s">
        <v>645</v>
      </c>
      <c r="M2" s="2" t="s">
        <v>694</v>
      </c>
      <c r="N2" s="2" t="s">
        <v>342</v>
      </c>
      <c r="O2" s="2">
        <v>1</v>
      </c>
      <c r="P2" s="2">
        <v>6</v>
      </c>
      <c r="Q2" s="2">
        <v>16</v>
      </c>
      <c r="R2" s="2">
        <v>32</v>
      </c>
      <c r="S2" s="2">
        <v>400</v>
      </c>
      <c r="T2" s="2">
        <v>12.615</v>
      </c>
      <c r="U2" s="2">
        <v>98.55</v>
      </c>
      <c r="V2" s="2">
        <v>2.1025</v>
      </c>
      <c r="W2" s="2">
        <v>2.1665999999999999</v>
      </c>
      <c r="X2" s="2">
        <v>27.332000000000001</v>
      </c>
      <c r="Y2" s="2">
        <v>25.225999999999999</v>
      </c>
      <c r="Z2" s="2" t="s">
        <v>129</v>
      </c>
      <c r="AA2" s="2" t="s">
        <v>195</v>
      </c>
      <c r="AB2" s="2" t="s">
        <v>695</v>
      </c>
      <c r="AC2" s="2" t="s">
        <v>696</v>
      </c>
    </row>
    <row r="3" spans="1:29" x14ac:dyDescent="0.35">
      <c r="A3" s="2" t="s">
        <v>647</v>
      </c>
      <c r="B3" s="2">
        <v>23.715</v>
      </c>
      <c r="D3" s="2">
        <v>1.1235999999999999</v>
      </c>
      <c r="E3" s="2">
        <v>0.13250000000000001</v>
      </c>
      <c r="H3" s="2">
        <v>375</v>
      </c>
      <c r="J3" s="2">
        <v>2.3715000000000002</v>
      </c>
      <c r="L3" s="2" t="s">
        <v>645</v>
      </c>
      <c r="M3" s="2" t="s">
        <v>697</v>
      </c>
      <c r="N3" s="2" t="s">
        <v>337</v>
      </c>
      <c r="O3" s="2">
        <v>1</v>
      </c>
      <c r="P3" s="2">
        <v>10</v>
      </c>
      <c r="Q3" s="2">
        <v>32</v>
      </c>
      <c r="R3" s="2">
        <v>64</v>
      </c>
      <c r="S3" s="2">
        <v>375</v>
      </c>
      <c r="T3" s="2">
        <v>23.715</v>
      </c>
      <c r="U3" s="2">
        <v>98.81</v>
      </c>
      <c r="V3" s="2">
        <v>2.3715000000000002</v>
      </c>
      <c r="W3" s="2">
        <v>1.2562</v>
      </c>
      <c r="X3" s="2">
        <v>29.79</v>
      </c>
      <c r="Y3" s="2">
        <v>26.646999999999998</v>
      </c>
      <c r="Z3" s="2" t="s">
        <v>129</v>
      </c>
      <c r="AA3" s="2" t="s">
        <v>195</v>
      </c>
      <c r="AB3" s="2" t="s">
        <v>698</v>
      </c>
      <c r="AC3" s="2" t="s">
        <v>696</v>
      </c>
    </row>
    <row r="4" spans="1:29" x14ac:dyDescent="0.35">
      <c r="A4" s="2" t="s">
        <v>664</v>
      </c>
      <c r="C4" s="2">
        <v>24.997</v>
      </c>
      <c r="F4" s="2">
        <v>1.0717000000000001</v>
      </c>
      <c r="G4" s="2">
        <v>0.15820000000000001</v>
      </c>
      <c r="I4" s="2">
        <v>394</v>
      </c>
      <c r="K4" s="2">
        <v>2.0831</v>
      </c>
      <c r="L4" s="2" t="s">
        <v>649</v>
      </c>
      <c r="M4" s="2" t="s">
        <v>699</v>
      </c>
      <c r="N4" s="2" t="s">
        <v>342</v>
      </c>
      <c r="O4" s="2">
        <v>2</v>
      </c>
      <c r="P4" s="2">
        <v>12</v>
      </c>
      <c r="Q4" s="2">
        <v>32</v>
      </c>
      <c r="R4" s="2">
        <v>64</v>
      </c>
      <c r="S4" s="2">
        <v>394</v>
      </c>
      <c r="T4" s="2">
        <v>24.997</v>
      </c>
      <c r="U4" s="2">
        <v>99.13</v>
      </c>
      <c r="V4" s="2">
        <v>2.0831</v>
      </c>
      <c r="W4" s="2">
        <v>1.2299</v>
      </c>
      <c r="X4" s="2">
        <v>30.744</v>
      </c>
      <c r="Y4" s="2">
        <v>26.789000000000001</v>
      </c>
      <c r="Z4" s="2" t="s">
        <v>129</v>
      </c>
      <c r="AA4" s="2" t="s">
        <v>195</v>
      </c>
      <c r="AB4" s="2" t="s">
        <v>716</v>
      </c>
      <c r="AC4" s="2" t="s">
        <v>700</v>
      </c>
    </row>
    <row r="5" spans="1:29" x14ac:dyDescent="0.35">
      <c r="A5" s="2" t="s">
        <v>650</v>
      </c>
      <c r="B5" s="2">
        <v>33.1</v>
      </c>
      <c r="D5" s="2">
        <v>0.83079999999999998</v>
      </c>
      <c r="E5" s="2">
        <v>0.14299999999999999</v>
      </c>
      <c r="H5" s="2">
        <v>350</v>
      </c>
      <c r="J5" s="2">
        <v>2.5461999999999998</v>
      </c>
      <c r="L5" s="2" t="s">
        <v>645</v>
      </c>
      <c r="M5" s="2" t="s">
        <v>701</v>
      </c>
      <c r="N5" s="2" t="s">
        <v>332</v>
      </c>
      <c r="O5" s="2">
        <v>1</v>
      </c>
      <c r="P5" s="2">
        <v>13</v>
      </c>
      <c r="Q5" s="2">
        <v>48</v>
      </c>
      <c r="R5" s="2">
        <v>96</v>
      </c>
      <c r="S5" s="2">
        <v>350</v>
      </c>
      <c r="T5" s="2">
        <v>33.1</v>
      </c>
      <c r="U5" s="2">
        <v>98.51</v>
      </c>
      <c r="V5" s="2">
        <v>2.5461999999999998</v>
      </c>
      <c r="W5" s="2">
        <v>0.97389999999999999</v>
      </c>
      <c r="X5" s="2">
        <v>32.234999999999999</v>
      </c>
      <c r="Y5" s="2">
        <v>27.501000000000001</v>
      </c>
      <c r="Z5" s="2" t="s">
        <v>129</v>
      </c>
      <c r="AA5" s="2" t="s">
        <v>195</v>
      </c>
      <c r="AB5" s="2" t="s">
        <v>702</v>
      </c>
      <c r="AC5" s="2" t="s">
        <v>696</v>
      </c>
    </row>
    <row r="6" spans="1:29" x14ac:dyDescent="0.35">
      <c r="A6" s="2" t="s">
        <v>652</v>
      </c>
      <c r="B6" s="2">
        <v>41.125</v>
      </c>
      <c r="D6" s="2">
        <v>0.751</v>
      </c>
      <c r="E6" s="2">
        <v>0.13139999999999999</v>
      </c>
      <c r="H6" s="2">
        <v>325</v>
      </c>
      <c r="J6" s="2">
        <v>2.4190999999999998</v>
      </c>
      <c r="L6" s="2" t="s">
        <v>645</v>
      </c>
      <c r="M6" s="2" t="s">
        <v>703</v>
      </c>
      <c r="N6" s="2" t="s">
        <v>314</v>
      </c>
      <c r="O6" s="2">
        <v>1</v>
      </c>
      <c r="P6" s="2">
        <v>17</v>
      </c>
      <c r="Q6" s="2">
        <v>64</v>
      </c>
      <c r="R6" s="2">
        <v>128</v>
      </c>
      <c r="S6" s="2">
        <v>325</v>
      </c>
      <c r="T6" s="2">
        <v>41.125</v>
      </c>
      <c r="U6" s="2">
        <v>98.86</v>
      </c>
      <c r="V6" s="2">
        <v>2.4190999999999998</v>
      </c>
      <c r="W6" s="2">
        <v>0.88229999999999997</v>
      </c>
      <c r="X6" s="2">
        <v>36.286000000000001</v>
      </c>
      <c r="Y6" s="2">
        <v>30.882999999999999</v>
      </c>
      <c r="Z6" s="2" t="s">
        <v>431</v>
      </c>
      <c r="AA6" s="2" t="s">
        <v>195</v>
      </c>
      <c r="AB6" s="2" t="s">
        <v>704</v>
      </c>
      <c r="AC6" s="2" t="s">
        <v>696</v>
      </c>
    </row>
    <row r="7" spans="1:29" x14ac:dyDescent="0.35">
      <c r="A7" s="2" t="s">
        <v>717</v>
      </c>
      <c r="C7" s="2">
        <v>37.914999999999999</v>
      </c>
      <c r="F7" s="2">
        <v>0.81659999999999999</v>
      </c>
      <c r="G7" s="2">
        <v>0.16400000000000001</v>
      </c>
      <c r="I7" s="2">
        <v>399</v>
      </c>
      <c r="K7" s="2">
        <v>2.1063999999999998</v>
      </c>
      <c r="L7" s="2" t="s">
        <v>649</v>
      </c>
      <c r="M7" s="2" t="s">
        <v>718</v>
      </c>
      <c r="N7" s="2" t="s">
        <v>342</v>
      </c>
      <c r="O7" s="2">
        <v>3</v>
      </c>
      <c r="P7" s="2">
        <v>18</v>
      </c>
      <c r="Q7" s="2">
        <v>48</v>
      </c>
      <c r="R7" s="2">
        <v>96</v>
      </c>
      <c r="S7" s="2">
        <v>399</v>
      </c>
      <c r="T7" s="2">
        <v>37.914999999999999</v>
      </c>
      <c r="U7" s="2">
        <v>98.99</v>
      </c>
      <c r="V7" s="2">
        <v>2.1063999999999998</v>
      </c>
      <c r="W7" s="2">
        <v>0.98060000000000003</v>
      </c>
      <c r="X7" s="2">
        <v>37.179000000000002</v>
      </c>
      <c r="Y7" s="2">
        <v>30.96</v>
      </c>
      <c r="Z7" s="2" t="s">
        <v>129</v>
      </c>
      <c r="AA7" s="2" t="s">
        <v>195</v>
      </c>
      <c r="AB7" s="2" t="s">
        <v>719</v>
      </c>
      <c r="AC7" s="2" t="s">
        <v>700</v>
      </c>
    </row>
    <row r="8" spans="1:29" x14ac:dyDescent="0.35">
      <c r="A8" s="2" t="s">
        <v>720</v>
      </c>
      <c r="C8" s="2">
        <v>45.591000000000001</v>
      </c>
      <c r="F8" s="2">
        <v>0.68959999999999999</v>
      </c>
      <c r="G8" s="2">
        <v>0.14899999999999999</v>
      </c>
      <c r="I8" s="2">
        <v>361</v>
      </c>
      <c r="K8" s="2">
        <v>2.2795000000000001</v>
      </c>
      <c r="L8" s="2" t="s">
        <v>649</v>
      </c>
      <c r="M8" s="2" t="s">
        <v>721</v>
      </c>
      <c r="N8" s="2" t="s">
        <v>337</v>
      </c>
      <c r="O8" s="2">
        <v>2</v>
      </c>
      <c r="P8" s="2">
        <v>20</v>
      </c>
      <c r="Q8" s="2">
        <v>64</v>
      </c>
      <c r="R8" s="2">
        <v>128</v>
      </c>
      <c r="S8" s="2">
        <v>361</v>
      </c>
      <c r="T8" s="2">
        <v>45.591000000000001</v>
      </c>
      <c r="U8" s="2">
        <v>98.66</v>
      </c>
      <c r="V8" s="2">
        <v>2.2795000000000001</v>
      </c>
      <c r="W8" s="2">
        <v>0.83860000000000001</v>
      </c>
      <c r="X8" s="2">
        <v>38.232999999999997</v>
      </c>
      <c r="Y8" s="2">
        <v>31.437999999999999</v>
      </c>
      <c r="Z8" s="2" t="s">
        <v>129</v>
      </c>
      <c r="AA8" s="2" t="s">
        <v>195</v>
      </c>
      <c r="AB8" s="2" t="s">
        <v>722</v>
      </c>
      <c r="AC8" s="2" t="s">
        <v>700</v>
      </c>
    </row>
    <row r="9" spans="1:29" x14ac:dyDescent="0.35">
      <c r="A9" s="2" t="s">
        <v>654</v>
      </c>
      <c r="B9" s="2">
        <v>57.024999999999999</v>
      </c>
      <c r="D9" s="2">
        <v>0.57230000000000003</v>
      </c>
      <c r="E9" s="2">
        <v>0.13669999999999999</v>
      </c>
      <c r="H9" s="2">
        <v>300</v>
      </c>
      <c r="J9" s="2">
        <v>2.3759999999999999</v>
      </c>
      <c r="L9" s="2" t="s">
        <v>645</v>
      </c>
      <c r="M9" s="2" t="s">
        <v>705</v>
      </c>
      <c r="N9" s="2" t="s">
        <v>329</v>
      </c>
      <c r="O9" s="2">
        <v>1</v>
      </c>
      <c r="P9" s="2">
        <v>24</v>
      </c>
      <c r="Q9" s="2">
        <v>96</v>
      </c>
      <c r="R9" s="2">
        <v>192</v>
      </c>
      <c r="S9" s="2">
        <v>300</v>
      </c>
      <c r="T9" s="2">
        <v>57.024999999999999</v>
      </c>
      <c r="U9" s="2">
        <v>99</v>
      </c>
      <c r="V9" s="2">
        <v>2.3759999999999999</v>
      </c>
      <c r="W9" s="2">
        <v>0.70899999999999996</v>
      </c>
      <c r="X9" s="2">
        <v>40.43</v>
      </c>
      <c r="Y9" s="2">
        <v>32.633000000000003</v>
      </c>
      <c r="Z9" s="2" t="s">
        <v>431</v>
      </c>
      <c r="AA9" s="2" t="s">
        <v>195</v>
      </c>
      <c r="AB9" s="2" t="s">
        <v>706</v>
      </c>
      <c r="AC9" s="2" t="s">
        <v>696</v>
      </c>
    </row>
    <row r="10" spans="1:29" x14ac:dyDescent="0.35">
      <c r="A10" s="2" t="s">
        <v>666</v>
      </c>
      <c r="C10" s="2">
        <v>47.37</v>
      </c>
      <c r="F10" s="2">
        <v>0.69750000000000001</v>
      </c>
      <c r="G10" s="2">
        <v>0.1542</v>
      </c>
      <c r="I10" s="2">
        <v>374</v>
      </c>
      <c r="K10" s="2">
        <v>1.9738</v>
      </c>
      <c r="L10" s="2" t="s">
        <v>649</v>
      </c>
      <c r="M10" s="2" t="s">
        <v>707</v>
      </c>
      <c r="N10" s="2" t="s">
        <v>342</v>
      </c>
      <c r="O10" s="2">
        <v>4</v>
      </c>
      <c r="P10" s="2">
        <v>24</v>
      </c>
      <c r="Q10" s="2">
        <v>64</v>
      </c>
      <c r="R10" s="2">
        <v>128</v>
      </c>
      <c r="S10" s="2">
        <v>374</v>
      </c>
      <c r="T10" s="2">
        <v>47.37</v>
      </c>
      <c r="U10" s="2">
        <v>98.95</v>
      </c>
      <c r="V10" s="2">
        <v>1.9738</v>
      </c>
      <c r="W10" s="2">
        <v>0.85170000000000001</v>
      </c>
      <c r="X10" s="2">
        <v>40.344999999999999</v>
      </c>
      <c r="Y10" s="2">
        <v>33.040999999999997</v>
      </c>
      <c r="Z10" s="2" t="s">
        <v>129</v>
      </c>
      <c r="AA10" s="2" t="s">
        <v>195</v>
      </c>
      <c r="AB10" s="2" t="s">
        <v>708</v>
      </c>
      <c r="AC10" s="2" t="s">
        <v>700</v>
      </c>
    </row>
    <row r="11" spans="1:29" x14ac:dyDescent="0.35">
      <c r="A11" s="2" t="s">
        <v>668</v>
      </c>
      <c r="C11" s="2">
        <v>64.641999999999996</v>
      </c>
      <c r="F11" s="2">
        <v>0.53180000000000005</v>
      </c>
      <c r="G11" s="2">
        <v>0.12520000000000001</v>
      </c>
      <c r="I11" s="2">
        <v>341</v>
      </c>
      <c r="K11" s="2">
        <v>2.4862000000000002</v>
      </c>
      <c r="L11" s="2" t="s">
        <v>649</v>
      </c>
      <c r="M11" s="2" t="s">
        <v>709</v>
      </c>
      <c r="N11" s="2" t="s">
        <v>332</v>
      </c>
      <c r="O11" s="2">
        <v>2</v>
      </c>
      <c r="P11" s="2">
        <v>26</v>
      </c>
      <c r="Q11" s="2">
        <v>96</v>
      </c>
      <c r="R11" s="2">
        <v>192</v>
      </c>
      <c r="S11" s="2">
        <v>341</v>
      </c>
      <c r="T11" s="2">
        <v>64.641999999999996</v>
      </c>
      <c r="U11" s="2">
        <v>98.73</v>
      </c>
      <c r="V11" s="2">
        <v>2.4862000000000002</v>
      </c>
      <c r="W11" s="2">
        <v>0.65700000000000003</v>
      </c>
      <c r="X11" s="2">
        <v>42.468000000000004</v>
      </c>
      <c r="Y11" s="2">
        <v>34.378</v>
      </c>
      <c r="Z11" s="2" t="s">
        <v>431</v>
      </c>
      <c r="AA11" s="2" t="s">
        <v>195</v>
      </c>
      <c r="AB11" s="2" t="s">
        <v>723</v>
      </c>
      <c r="AC11" s="2" t="s">
        <v>700</v>
      </c>
    </row>
    <row r="12" spans="1:29" x14ac:dyDescent="0.35">
      <c r="A12" s="2" t="s">
        <v>670</v>
      </c>
      <c r="C12" s="2">
        <v>51.718000000000004</v>
      </c>
      <c r="F12" s="2">
        <v>0.65290000000000004</v>
      </c>
      <c r="G12" s="2">
        <v>0.1628</v>
      </c>
      <c r="I12" s="2">
        <v>329</v>
      </c>
      <c r="K12" s="2">
        <v>1.7239</v>
      </c>
      <c r="L12" s="2" t="s">
        <v>649</v>
      </c>
      <c r="M12" s="2" t="s">
        <v>710</v>
      </c>
      <c r="N12" s="2" t="s">
        <v>342</v>
      </c>
      <c r="O12" s="2">
        <v>5</v>
      </c>
      <c r="P12" s="2">
        <v>30</v>
      </c>
      <c r="Q12" s="2">
        <v>80</v>
      </c>
      <c r="R12" s="2">
        <v>160</v>
      </c>
      <c r="S12" s="2">
        <v>329</v>
      </c>
      <c r="T12" s="2">
        <v>51.718000000000004</v>
      </c>
      <c r="U12" s="2">
        <v>98.25</v>
      </c>
      <c r="V12" s="2">
        <v>1.7239</v>
      </c>
      <c r="W12" s="2">
        <v>0.81569999999999998</v>
      </c>
      <c r="X12" s="2">
        <v>42.186999999999998</v>
      </c>
      <c r="Y12" s="2">
        <v>33.768000000000001</v>
      </c>
      <c r="Z12" s="2" t="s">
        <v>431</v>
      </c>
      <c r="AA12" s="2" t="s">
        <v>195</v>
      </c>
      <c r="AB12" s="2" t="s">
        <v>711</v>
      </c>
      <c r="AC12" s="2" t="s">
        <v>700</v>
      </c>
    </row>
    <row r="13" spans="1:29" x14ac:dyDescent="0.35">
      <c r="A13" s="2" t="s">
        <v>672</v>
      </c>
      <c r="C13" s="2">
        <v>66.795000000000002</v>
      </c>
      <c r="F13" s="2">
        <v>0.51060000000000005</v>
      </c>
      <c r="G13" s="2">
        <v>0.1409</v>
      </c>
      <c r="I13" s="2">
        <v>354</v>
      </c>
      <c r="K13" s="2">
        <v>2.2265000000000001</v>
      </c>
      <c r="L13" s="2" t="s">
        <v>649</v>
      </c>
      <c r="M13" s="2" t="s">
        <v>712</v>
      </c>
      <c r="N13" s="2" t="s">
        <v>337</v>
      </c>
      <c r="O13" s="2">
        <v>3</v>
      </c>
      <c r="P13" s="2">
        <v>30</v>
      </c>
      <c r="Q13" s="2">
        <v>96</v>
      </c>
      <c r="R13" s="2">
        <v>192</v>
      </c>
      <c r="S13" s="2">
        <v>354</v>
      </c>
      <c r="T13" s="2">
        <v>66.795000000000002</v>
      </c>
      <c r="U13" s="2">
        <v>98.27</v>
      </c>
      <c r="V13" s="2">
        <v>2.2265000000000001</v>
      </c>
      <c r="W13" s="2">
        <v>0.65149999999999997</v>
      </c>
      <c r="X13" s="2">
        <v>43.515999999999998</v>
      </c>
      <c r="Y13" s="2">
        <v>34.106000000000002</v>
      </c>
      <c r="Z13" s="2" t="s">
        <v>431</v>
      </c>
      <c r="AA13" s="2" t="s">
        <v>195</v>
      </c>
      <c r="AB13" s="2" t="s">
        <v>713</v>
      </c>
      <c r="AC13" s="2" t="s">
        <v>700</v>
      </c>
    </row>
    <row r="14" spans="1:29" x14ac:dyDescent="0.35">
      <c r="A14" s="2" t="s">
        <v>657</v>
      </c>
      <c r="B14" s="2">
        <v>63.634999999999998</v>
      </c>
      <c r="D14" s="2">
        <v>0.52939999999999998</v>
      </c>
      <c r="E14" s="2">
        <v>0.13489999999999999</v>
      </c>
      <c r="H14" s="2">
        <v>250</v>
      </c>
      <c r="J14" s="2">
        <v>1.9885999999999999</v>
      </c>
      <c r="L14" s="2" t="s">
        <v>645</v>
      </c>
      <c r="M14" s="2" t="s">
        <v>714</v>
      </c>
      <c r="N14" s="2" t="s">
        <v>325</v>
      </c>
      <c r="O14" s="2">
        <v>1</v>
      </c>
      <c r="P14" s="2">
        <v>32</v>
      </c>
      <c r="Q14" s="2">
        <v>128</v>
      </c>
      <c r="R14" s="2">
        <v>256</v>
      </c>
      <c r="S14" s="2">
        <v>250</v>
      </c>
      <c r="T14" s="2">
        <v>63.634999999999998</v>
      </c>
      <c r="U14" s="2">
        <v>99.43</v>
      </c>
      <c r="V14" s="2">
        <v>1.9885999999999999</v>
      </c>
      <c r="W14" s="2">
        <v>0.6643</v>
      </c>
      <c r="X14" s="2">
        <v>42.271000000000001</v>
      </c>
      <c r="Y14" s="2">
        <v>33.686</v>
      </c>
      <c r="Z14" s="2" t="s">
        <v>431</v>
      </c>
      <c r="AA14" s="2" t="s">
        <v>195</v>
      </c>
      <c r="AB14" s="2" t="s">
        <v>715</v>
      </c>
      <c r="AC14" s="2" t="s">
        <v>696</v>
      </c>
    </row>
  </sheetData>
  <autoFilter ref="A1:AC12" xr:uid="{00000000-0009-0000-0000-000016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829F-E2DC-491E-940E-830817ABD9E5}">
  <dimension ref="A1:S9"/>
  <sheetViews>
    <sheetView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10" customWidth="1"/>
    <col min="2" max="10" width="17" customWidth="1"/>
    <col min="11" max="11" width="20" customWidth="1"/>
    <col min="12" max="12" width="22" customWidth="1"/>
    <col min="13" max="13" width="15" customWidth="1"/>
    <col min="14" max="14" width="11" customWidth="1"/>
    <col min="15" max="15" width="26" customWidth="1"/>
    <col min="16" max="16" width="11" customWidth="1"/>
    <col min="17" max="17" width="30" customWidth="1"/>
  </cols>
  <sheetData>
    <row r="1" spans="1:19" ht="30" customHeight="1" x14ac:dyDescent="0.35">
      <c r="A1" s="1" t="s">
        <v>571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659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660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1</v>
      </c>
      <c r="S1" s="1" t="s">
        <v>4</v>
      </c>
    </row>
    <row r="2" spans="1:19" x14ac:dyDescent="0.35">
      <c r="A2" s="2" t="s">
        <v>586</v>
      </c>
      <c r="B2" s="2" t="s">
        <v>587</v>
      </c>
      <c r="C2" s="2">
        <v>0.89</v>
      </c>
      <c r="D2" s="2">
        <v>-1.07</v>
      </c>
      <c r="H2" s="2">
        <v>1.0088999999999999</v>
      </c>
      <c r="I2" s="2">
        <v>0.98929999999999996</v>
      </c>
      <c r="M2" s="2">
        <v>97.37</v>
      </c>
      <c r="N2" s="2">
        <v>0.99399999999999999</v>
      </c>
      <c r="O2" s="2" t="s">
        <v>586</v>
      </c>
      <c r="P2" s="2">
        <v>2</v>
      </c>
      <c r="Q2" s="2" t="s">
        <v>661</v>
      </c>
      <c r="R2" s="2">
        <v>329</v>
      </c>
      <c r="S2" s="2" t="s">
        <v>588</v>
      </c>
    </row>
    <row r="3" spans="1:19" x14ac:dyDescent="0.35">
      <c r="B3" s="2" t="s">
        <v>589</v>
      </c>
      <c r="C3" s="2">
        <v>0.97</v>
      </c>
      <c r="D3" s="2">
        <v>-0.66</v>
      </c>
      <c r="E3" s="2">
        <v>-0.37</v>
      </c>
      <c r="H3" s="2">
        <v>1.0097</v>
      </c>
      <c r="I3" s="2">
        <v>0.99339999999999995</v>
      </c>
      <c r="J3" s="2">
        <v>0.99629999999999996</v>
      </c>
      <c r="M3" s="2">
        <v>94.27</v>
      </c>
      <c r="N3" s="2">
        <v>0.99399999999999999</v>
      </c>
      <c r="O3" s="2" t="s">
        <v>586</v>
      </c>
      <c r="P3" s="2">
        <v>3</v>
      </c>
      <c r="Q3" s="2" t="s">
        <v>661</v>
      </c>
      <c r="R3" s="2">
        <v>329</v>
      </c>
      <c r="S3" s="2" t="s">
        <v>588</v>
      </c>
    </row>
    <row r="4" spans="1:19" x14ac:dyDescent="0.35">
      <c r="B4" s="2" t="s">
        <v>590</v>
      </c>
      <c r="C4" s="2">
        <v>1.18</v>
      </c>
      <c r="D4" s="2">
        <v>-0.14000000000000001</v>
      </c>
      <c r="E4" s="2">
        <v>0.05</v>
      </c>
      <c r="F4" s="2">
        <v>-0.3</v>
      </c>
      <c r="H4" s="2">
        <v>1.0118</v>
      </c>
      <c r="I4" s="2">
        <v>0.99860000000000004</v>
      </c>
      <c r="J4" s="2">
        <v>1.0004999999999999</v>
      </c>
      <c r="K4" s="2">
        <v>0.997</v>
      </c>
      <c r="M4" s="2">
        <v>91.5</v>
      </c>
      <c r="N4" s="2">
        <v>0.99399999999999999</v>
      </c>
      <c r="O4" s="2" t="s">
        <v>586</v>
      </c>
      <c r="P4" s="2">
        <v>4</v>
      </c>
      <c r="Q4" s="2" t="s">
        <v>661</v>
      </c>
      <c r="R4" s="2">
        <v>329</v>
      </c>
      <c r="S4" s="2" t="s">
        <v>588</v>
      </c>
    </row>
    <row r="5" spans="1:19" x14ac:dyDescent="0.35">
      <c r="B5" s="2" t="s">
        <v>662</v>
      </c>
      <c r="C5" s="2">
        <v>1.45</v>
      </c>
      <c r="D5" s="2">
        <v>0.04</v>
      </c>
      <c r="E5" s="2">
        <v>0.46</v>
      </c>
      <c r="F5" s="2">
        <v>-0.38</v>
      </c>
      <c r="G5" s="2">
        <v>-0.28000000000000003</v>
      </c>
      <c r="H5" s="2">
        <v>1.0145</v>
      </c>
      <c r="I5" s="2">
        <v>1.0004</v>
      </c>
      <c r="J5" s="2">
        <v>1.0045999999999999</v>
      </c>
      <c r="K5" s="2">
        <v>0.99619999999999997</v>
      </c>
      <c r="L5" s="2">
        <v>0.99719999999999998</v>
      </c>
      <c r="M5" s="2">
        <v>88.27</v>
      </c>
      <c r="N5" s="2">
        <v>0.99399999999999999</v>
      </c>
      <c r="O5" s="2" t="s">
        <v>586</v>
      </c>
      <c r="P5" s="2">
        <v>5</v>
      </c>
      <c r="Q5" s="2" t="s">
        <v>661</v>
      </c>
      <c r="R5" s="2">
        <v>329</v>
      </c>
      <c r="S5" s="2" t="s">
        <v>588</v>
      </c>
    </row>
    <row r="6" spans="1:19" x14ac:dyDescent="0.35">
      <c r="A6" s="2" t="s">
        <v>591</v>
      </c>
      <c r="B6" s="2" t="s">
        <v>587</v>
      </c>
      <c r="C6" s="2">
        <v>0.43</v>
      </c>
      <c r="D6" s="2">
        <v>-0.8</v>
      </c>
      <c r="H6" s="2">
        <v>1.0043</v>
      </c>
      <c r="I6" s="2">
        <v>0.99199999999999999</v>
      </c>
      <c r="M6" s="2">
        <v>95.57</v>
      </c>
      <c r="N6" s="2">
        <v>0.441</v>
      </c>
      <c r="O6" s="2" t="s">
        <v>591</v>
      </c>
      <c r="P6" s="2">
        <v>2</v>
      </c>
      <c r="Q6" s="2" t="s">
        <v>661</v>
      </c>
      <c r="R6" s="2">
        <v>329</v>
      </c>
      <c r="S6" s="2" t="s">
        <v>588</v>
      </c>
    </row>
    <row r="7" spans="1:19" x14ac:dyDescent="0.35">
      <c r="B7" s="2" t="s">
        <v>589</v>
      </c>
      <c r="C7" s="2">
        <v>0.39</v>
      </c>
      <c r="D7" s="2">
        <v>-0.8</v>
      </c>
      <c r="E7" s="2">
        <v>-0.08</v>
      </c>
      <c r="H7" s="2">
        <v>1.0039</v>
      </c>
      <c r="I7" s="2">
        <v>0.99199999999999999</v>
      </c>
      <c r="J7" s="2">
        <v>0.99919999999999998</v>
      </c>
      <c r="M7" s="2">
        <v>92.07</v>
      </c>
      <c r="N7" s="2">
        <v>0.441</v>
      </c>
      <c r="O7" s="2" t="s">
        <v>591</v>
      </c>
      <c r="P7" s="2">
        <v>3</v>
      </c>
      <c r="Q7" s="2" t="s">
        <v>661</v>
      </c>
      <c r="R7" s="2">
        <v>329</v>
      </c>
      <c r="S7" s="2" t="s">
        <v>588</v>
      </c>
    </row>
    <row r="8" spans="1:19" x14ac:dyDescent="0.35">
      <c r="B8" s="2" t="s">
        <v>590</v>
      </c>
      <c r="C8" s="2">
        <v>0.41</v>
      </c>
      <c r="D8" s="2">
        <v>-0.64</v>
      </c>
      <c r="E8" s="2">
        <v>0.13</v>
      </c>
      <c r="F8" s="2">
        <v>-0.41</v>
      </c>
      <c r="H8" s="2">
        <v>1.0041</v>
      </c>
      <c r="I8" s="2">
        <v>0.99360000000000004</v>
      </c>
      <c r="J8" s="2">
        <v>1.0013000000000001</v>
      </c>
      <c r="K8" s="2">
        <v>0.99590000000000001</v>
      </c>
      <c r="M8" s="2">
        <v>85.03</v>
      </c>
      <c r="N8" s="2">
        <v>0.441</v>
      </c>
      <c r="O8" s="2" t="s">
        <v>591</v>
      </c>
      <c r="P8" s="2">
        <v>4</v>
      </c>
      <c r="Q8" s="2" t="s">
        <v>661</v>
      </c>
      <c r="R8" s="2">
        <v>329</v>
      </c>
      <c r="S8" s="2" t="s">
        <v>588</v>
      </c>
    </row>
    <row r="9" spans="1:19" x14ac:dyDescent="0.35">
      <c r="B9" s="2" t="s">
        <v>662</v>
      </c>
      <c r="C9" s="2">
        <v>0.92</v>
      </c>
      <c r="D9" s="2">
        <v>-0.06</v>
      </c>
      <c r="E9" s="2">
        <v>0.46</v>
      </c>
      <c r="F9" s="2">
        <v>-0.62</v>
      </c>
      <c r="G9" s="2">
        <v>-0.01</v>
      </c>
      <c r="H9" s="2">
        <v>1.0092000000000001</v>
      </c>
      <c r="I9" s="2">
        <v>0.99939999999999996</v>
      </c>
      <c r="J9" s="2">
        <v>1.0045999999999999</v>
      </c>
      <c r="K9" s="2">
        <v>0.99380000000000002</v>
      </c>
      <c r="L9" s="2">
        <v>0.99990000000000001</v>
      </c>
      <c r="M9" s="2">
        <v>83.9</v>
      </c>
      <c r="N9" s="2">
        <v>0.441</v>
      </c>
      <c r="O9" s="2" t="s">
        <v>591</v>
      </c>
      <c r="P9" s="2">
        <v>5</v>
      </c>
      <c r="Q9" s="2" t="s">
        <v>661</v>
      </c>
      <c r="R9" s="2">
        <v>329</v>
      </c>
      <c r="S9" s="2" t="s">
        <v>588</v>
      </c>
    </row>
  </sheetData>
  <autoFilter ref="A1:Q7" xr:uid="{00000000-0009-0000-0000-00001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1660-C240-4119-8A64-43C0FC34527A}">
  <dimension ref="A1:M6"/>
  <sheetViews>
    <sheetView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17" customWidth="1"/>
    <col min="2" max="2" width="14" customWidth="1"/>
    <col min="3" max="3" width="17" customWidth="1"/>
    <col min="4" max="4" width="23" customWidth="1"/>
    <col min="5" max="5" width="13" customWidth="1"/>
    <col min="6" max="6" width="17" customWidth="1"/>
    <col min="7" max="7" width="20" customWidth="1"/>
    <col min="8" max="8" width="19" customWidth="1"/>
    <col min="9" max="9" width="22" customWidth="1"/>
    <col min="10" max="10" width="11" customWidth="1"/>
    <col min="11" max="11" width="26" customWidth="1"/>
    <col min="12" max="12" width="11" customWidth="1"/>
    <col min="13" max="13" width="30" customWidth="1"/>
  </cols>
  <sheetData>
    <row r="1" spans="1:13" ht="30" customHeight="1" x14ac:dyDescent="0.35">
      <c r="A1" s="1" t="s">
        <v>572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596</v>
      </c>
      <c r="G1" s="1" t="s">
        <v>597</v>
      </c>
      <c r="H1" s="1" t="s">
        <v>598</v>
      </c>
      <c r="I1" s="1" t="s">
        <v>599</v>
      </c>
      <c r="J1" s="1" t="s">
        <v>584</v>
      </c>
      <c r="K1" s="1" t="s">
        <v>585</v>
      </c>
      <c r="L1" s="1" t="s">
        <v>1</v>
      </c>
      <c r="M1" s="1" t="s">
        <v>4</v>
      </c>
    </row>
    <row r="2" spans="1:13" x14ac:dyDescent="0.35">
      <c r="A2" s="2" t="s">
        <v>600</v>
      </c>
      <c r="B2" s="2">
        <v>9.8810000000000002</v>
      </c>
      <c r="C2" s="2">
        <v>9.7289999999999992</v>
      </c>
      <c r="D2" s="2">
        <v>9.8810000000000002</v>
      </c>
      <c r="E2" s="2">
        <v>10.528</v>
      </c>
      <c r="F2" s="2">
        <v>1</v>
      </c>
      <c r="G2" s="2">
        <v>1</v>
      </c>
      <c r="H2" s="2">
        <v>93.85</v>
      </c>
      <c r="I2" s="2">
        <v>92.41</v>
      </c>
      <c r="J2" s="2">
        <v>1</v>
      </c>
      <c r="K2" s="2" t="s">
        <v>661</v>
      </c>
      <c r="L2" s="2">
        <v>329</v>
      </c>
      <c r="M2" s="2" t="s">
        <v>601</v>
      </c>
    </row>
    <row r="3" spans="1:13" x14ac:dyDescent="0.35">
      <c r="A3" s="2" t="s">
        <v>587</v>
      </c>
      <c r="B3" s="2">
        <v>19.742999999999999</v>
      </c>
      <c r="C3" s="2">
        <v>19.13</v>
      </c>
      <c r="D3" s="2">
        <v>19.762</v>
      </c>
      <c r="E3" s="2">
        <v>21.056000000000001</v>
      </c>
      <c r="F3" s="2">
        <v>1.998</v>
      </c>
      <c r="G3" s="2">
        <v>1.966</v>
      </c>
      <c r="H3" s="2">
        <v>93.76</v>
      </c>
      <c r="I3" s="2">
        <v>90.85</v>
      </c>
      <c r="J3" s="2">
        <v>2</v>
      </c>
      <c r="K3" s="2" t="s">
        <v>661</v>
      </c>
      <c r="L3" s="2">
        <v>329</v>
      </c>
      <c r="M3" s="2" t="s">
        <v>601</v>
      </c>
    </row>
    <row r="4" spans="1:13" x14ac:dyDescent="0.35">
      <c r="A4" s="2" t="s">
        <v>589</v>
      </c>
      <c r="B4" s="2">
        <v>29.350999999999999</v>
      </c>
      <c r="C4" s="2">
        <v>28.937999999999999</v>
      </c>
      <c r="D4" s="2">
        <v>29.643000000000001</v>
      </c>
      <c r="E4" s="2">
        <v>31.584</v>
      </c>
      <c r="F4" s="2">
        <v>2.97</v>
      </c>
      <c r="G4" s="2">
        <v>2.9740000000000002</v>
      </c>
      <c r="H4" s="2">
        <v>92.93</v>
      </c>
      <c r="I4" s="2">
        <v>91.62</v>
      </c>
      <c r="J4" s="2">
        <v>3</v>
      </c>
      <c r="K4" s="2" t="s">
        <v>661</v>
      </c>
      <c r="L4" s="2">
        <v>329</v>
      </c>
      <c r="M4" s="2" t="s">
        <v>601</v>
      </c>
    </row>
    <row r="5" spans="1:13" x14ac:dyDescent="0.35">
      <c r="A5" s="2" t="s">
        <v>590</v>
      </c>
      <c r="B5" s="2">
        <v>39.195999999999998</v>
      </c>
      <c r="C5" s="2">
        <v>37.706000000000003</v>
      </c>
      <c r="D5" s="2">
        <v>39.524000000000001</v>
      </c>
      <c r="E5" s="2">
        <v>42.112000000000002</v>
      </c>
      <c r="F5" s="2">
        <v>3.9670000000000001</v>
      </c>
      <c r="G5" s="2">
        <v>3.8759999999999999</v>
      </c>
      <c r="H5" s="2">
        <v>93.08</v>
      </c>
      <c r="I5" s="2">
        <v>89.54</v>
      </c>
      <c r="J5" s="2">
        <v>4</v>
      </c>
      <c r="K5" s="2" t="s">
        <v>661</v>
      </c>
      <c r="L5" s="2">
        <v>329</v>
      </c>
      <c r="M5" s="2" t="s">
        <v>601</v>
      </c>
    </row>
    <row r="6" spans="1:13" x14ac:dyDescent="0.35">
      <c r="A6" s="2" t="s">
        <v>662</v>
      </c>
      <c r="B6" s="2">
        <v>48.542999999999999</v>
      </c>
      <c r="C6" s="2">
        <v>47.209000000000003</v>
      </c>
      <c r="D6" s="2">
        <v>49.405000000000001</v>
      </c>
      <c r="E6" s="2">
        <v>52.64</v>
      </c>
      <c r="F6" s="2">
        <v>4.9130000000000003</v>
      </c>
      <c r="G6" s="2">
        <v>4.8520000000000003</v>
      </c>
      <c r="H6" s="2">
        <v>92.22</v>
      </c>
      <c r="I6" s="2">
        <v>89.68</v>
      </c>
      <c r="J6" s="2">
        <v>5</v>
      </c>
      <c r="K6" s="2" t="s">
        <v>661</v>
      </c>
      <c r="L6" s="2">
        <v>329</v>
      </c>
      <c r="M6" s="2" t="s">
        <v>601</v>
      </c>
    </row>
  </sheetData>
  <autoFilter ref="A1:M5" xr:uid="{00000000-0009-0000-0000-000012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6210-CB14-4AE6-BD2E-B2F8DAD607B8}">
  <dimension ref="A1:Q11"/>
  <sheetViews>
    <sheetView workbookViewId="0">
      <pane ySplit="1" topLeftCell="A2" activePane="bottomLeft" state="frozen"/>
      <selection pane="bottomLeft" activeCell="C25" sqref="C25"/>
    </sheetView>
  </sheetViews>
  <sheetFormatPr defaultRowHeight="14.5" x14ac:dyDescent="0.35"/>
  <cols>
    <col min="1" max="1" width="10" customWidth="1"/>
    <col min="2" max="2" width="17" customWidth="1"/>
    <col min="3" max="3" width="19" customWidth="1"/>
    <col min="4" max="4" width="20" customWidth="1"/>
    <col min="5" max="5" width="18" customWidth="1"/>
    <col min="6" max="6" width="10" customWidth="1"/>
    <col min="7" max="8" width="14" customWidth="1"/>
    <col min="9" max="9" width="17" customWidth="1"/>
    <col min="10" max="11" width="15" customWidth="1"/>
    <col min="12" max="12" width="12" customWidth="1"/>
    <col min="13" max="13" width="15" customWidth="1"/>
    <col min="14" max="14" width="11" customWidth="1"/>
    <col min="15" max="15" width="26" customWidth="1"/>
    <col min="16" max="16" width="11" customWidth="1"/>
    <col min="17" max="17" width="30" customWidth="1"/>
  </cols>
  <sheetData>
    <row r="1" spans="1:17" ht="30" customHeight="1" x14ac:dyDescent="0.35">
      <c r="A1" s="1" t="s">
        <v>571</v>
      </c>
      <c r="B1" s="1" t="s">
        <v>572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202</v>
      </c>
      <c r="M1" s="1" t="s">
        <v>583</v>
      </c>
      <c r="N1" s="1" t="s">
        <v>584</v>
      </c>
      <c r="O1" s="1" t="s">
        <v>585</v>
      </c>
      <c r="P1" s="1" t="s">
        <v>1</v>
      </c>
      <c r="Q1" s="1" t="s">
        <v>4</v>
      </c>
    </row>
    <row r="2" spans="1:17" x14ac:dyDescent="0.35">
      <c r="A2" s="2" t="s">
        <v>586</v>
      </c>
      <c r="B2" s="2" t="s">
        <v>600</v>
      </c>
      <c r="C2" s="2">
        <v>3.4154</v>
      </c>
      <c r="D2" s="2">
        <v>0.1598</v>
      </c>
      <c r="E2" s="2">
        <v>3.5752000000000002</v>
      </c>
      <c r="F2" s="2">
        <v>9.8810000000000002</v>
      </c>
      <c r="G2" s="2">
        <v>35.326999999999998</v>
      </c>
      <c r="H2" s="2">
        <v>33.747999999999998</v>
      </c>
      <c r="I2" s="2">
        <v>1.579</v>
      </c>
      <c r="J2" s="2">
        <v>9.077</v>
      </c>
      <c r="K2" s="2">
        <v>8.7050000000000001</v>
      </c>
      <c r="L2" s="2">
        <v>95.53</v>
      </c>
      <c r="M2" s="2" t="s">
        <v>586</v>
      </c>
      <c r="N2" s="2">
        <v>1</v>
      </c>
      <c r="O2" s="2" t="s">
        <v>661</v>
      </c>
      <c r="P2" s="2">
        <v>329</v>
      </c>
      <c r="Q2" s="2" t="s">
        <v>606</v>
      </c>
    </row>
    <row r="3" spans="1:17" x14ac:dyDescent="0.35">
      <c r="B3" s="2" t="s">
        <v>587</v>
      </c>
      <c r="C3" s="2">
        <v>1.7124999999999999</v>
      </c>
      <c r="D3" s="2">
        <v>0.16189999999999999</v>
      </c>
      <c r="E3" s="2">
        <v>1.8744000000000001</v>
      </c>
      <c r="F3" s="2">
        <v>19.742999999999999</v>
      </c>
      <c r="G3" s="2">
        <v>37.005000000000003</v>
      </c>
      <c r="H3" s="2">
        <v>33.808999999999997</v>
      </c>
      <c r="I3" s="2">
        <v>3.1960000000000002</v>
      </c>
      <c r="J3" s="2">
        <v>9.3420000000000005</v>
      </c>
      <c r="K3" s="2">
        <v>8.7029999999999994</v>
      </c>
      <c r="L3" s="2">
        <v>91.36</v>
      </c>
      <c r="M3" s="2" t="s">
        <v>586</v>
      </c>
      <c r="N3" s="2">
        <v>2</v>
      </c>
      <c r="O3" s="2" t="s">
        <v>661</v>
      </c>
      <c r="P3" s="2">
        <v>329</v>
      </c>
      <c r="Q3" s="2" t="s">
        <v>606</v>
      </c>
    </row>
    <row r="4" spans="1:17" x14ac:dyDescent="0.35">
      <c r="B4" s="2" t="s">
        <v>589</v>
      </c>
      <c r="C4" s="2">
        <v>1.1516999999999999</v>
      </c>
      <c r="D4" s="2">
        <v>0.1661</v>
      </c>
      <c r="E4" s="2">
        <v>1.3177000000000001</v>
      </c>
      <c r="F4" s="2">
        <v>29.350999999999999</v>
      </c>
      <c r="G4" s="2">
        <v>38.676000000000002</v>
      </c>
      <c r="H4" s="2">
        <v>33.802</v>
      </c>
      <c r="I4" s="2">
        <v>4.8739999999999997</v>
      </c>
      <c r="J4" s="2">
        <v>9.67</v>
      </c>
      <c r="K4" s="2">
        <v>8.6989999999999998</v>
      </c>
      <c r="L4" s="2">
        <v>87.4</v>
      </c>
      <c r="M4" s="2" t="s">
        <v>586</v>
      </c>
      <c r="N4" s="2">
        <v>3</v>
      </c>
      <c r="O4" s="2" t="s">
        <v>661</v>
      </c>
      <c r="P4" s="2">
        <v>329</v>
      </c>
      <c r="Q4" s="2" t="s">
        <v>606</v>
      </c>
    </row>
    <row r="5" spans="1:17" x14ac:dyDescent="0.35">
      <c r="B5" s="2" t="s">
        <v>590</v>
      </c>
      <c r="C5" s="2">
        <v>0.86409999999999998</v>
      </c>
      <c r="D5" s="2">
        <v>0.1646</v>
      </c>
      <c r="E5" s="2">
        <v>1.0286999999999999</v>
      </c>
      <c r="F5" s="2">
        <v>39.195999999999998</v>
      </c>
      <c r="G5" s="2">
        <v>40.320999999999998</v>
      </c>
      <c r="H5" s="2">
        <v>33.869999999999997</v>
      </c>
      <c r="I5" s="2">
        <v>6.4509999999999996</v>
      </c>
      <c r="J5" s="2">
        <v>10.018000000000001</v>
      </c>
      <c r="K5" s="2">
        <v>8.8520000000000003</v>
      </c>
      <c r="L5" s="2">
        <v>84</v>
      </c>
      <c r="M5" s="2" t="s">
        <v>586</v>
      </c>
      <c r="N5" s="2">
        <v>4</v>
      </c>
      <c r="O5" s="2" t="s">
        <v>661</v>
      </c>
      <c r="P5" s="2">
        <v>329</v>
      </c>
      <c r="Q5" s="2" t="s">
        <v>606</v>
      </c>
    </row>
    <row r="6" spans="1:17" x14ac:dyDescent="0.35">
      <c r="B6" s="2" t="s">
        <v>662</v>
      </c>
      <c r="C6" s="2">
        <v>0.6956</v>
      </c>
      <c r="D6" s="2">
        <v>0.1734</v>
      </c>
      <c r="E6" s="2">
        <v>0.86909999999999998</v>
      </c>
      <c r="F6" s="2">
        <v>48.542999999999999</v>
      </c>
      <c r="G6" s="2">
        <v>42.186999999999998</v>
      </c>
      <c r="H6" s="2">
        <v>33.768000000000001</v>
      </c>
      <c r="I6" s="2">
        <v>8.4190000000000005</v>
      </c>
      <c r="J6" s="2">
        <v>10.465</v>
      </c>
      <c r="K6" s="2">
        <v>8.8350000000000009</v>
      </c>
      <c r="L6" s="2">
        <v>80.040000000000006</v>
      </c>
      <c r="M6" s="2" t="s">
        <v>586</v>
      </c>
      <c r="N6" s="2">
        <v>5</v>
      </c>
      <c r="O6" s="2" t="s">
        <v>661</v>
      </c>
      <c r="P6" s="2">
        <v>329</v>
      </c>
      <c r="Q6" s="2" t="s">
        <v>606</v>
      </c>
    </row>
    <row r="7" spans="1:17" x14ac:dyDescent="0.35">
      <c r="A7" s="2" t="s">
        <v>591</v>
      </c>
      <c r="B7" s="2" t="s">
        <v>600</v>
      </c>
      <c r="C7" s="2">
        <v>3.4537</v>
      </c>
      <c r="D7" s="2">
        <v>0.17380000000000001</v>
      </c>
      <c r="E7" s="2">
        <v>3.6274999999999999</v>
      </c>
      <c r="F7" s="2">
        <v>9.7289999999999992</v>
      </c>
      <c r="G7" s="2">
        <v>35.292999999999999</v>
      </c>
      <c r="H7" s="2">
        <v>33.601999999999997</v>
      </c>
      <c r="I7" s="2">
        <v>1.6910000000000001</v>
      </c>
      <c r="J7" s="2">
        <v>8.9700000000000006</v>
      </c>
      <c r="K7" s="2">
        <v>8.5250000000000004</v>
      </c>
      <c r="L7" s="2">
        <v>95.21</v>
      </c>
      <c r="M7" s="2" t="s">
        <v>591</v>
      </c>
      <c r="N7" s="2">
        <v>1</v>
      </c>
      <c r="O7" s="2" t="s">
        <v>661</v>
      </c>
      <c r="P7" s="2">
        <v>329</v>
      </c>
      <c r="Q7" s="2" t="s">
        <v>606</v>
      </c>
    </row>
    <row r="8" spans="1:17" x14ac:dyDescent="0.35">
      <c r="B8" s="2" t="s">
        <v>587</v>
      </c>
      <c r="C8" s="2">
        <v>1.7479</v>
      </c>
      <c r="D8" s="2">
        <v>0.1741</v>
      </c>
      <c r="E8" s="2">
        <v>1.9219999999999999</v>
      </c>
      <c r="F8" s="2">
        <v>19.13</v>
      </c>
      <c r="G8" s="2">
        <v>36.767000000000003</v>
      </c>
      <c r="H8" s="2">
        <v>33.436999999999998</v>
      </c>
      <c r="I8" s="2">
        <v>3.33</v>
      </c>
      <c r="J8" s="2">
        <v>9.1929999999999996</v>
      </c>
      <c r="K8" s="2">
        <v>8.5220000000000002</v>
      </c>
      <c r="L8" s="2">
        <v>90.94</v>
      </c>
      <c r="M8" s="2" t="s">
        <v>591</v>
      </c>
      <c r="N8" s="2">
        <v>2</v>
      </c>
      <c r="O8" s="2" t="s">
        <v>661</v>
      </c>
      <c r="P8" s="2">
        <v>329</v>
      </c>
      <c r="Q8" s="2" t="s">
        <v>606</v>
      </c>
    </row>
    <row r="9" spans="1:17" x14ac:dyDescent="0.35">
      <c r="B9" s="2" t="s">
        <v>589</v>
      </c>
      <c r="C9" s="2">
        <v>1.1588000000000001</v>
      </c>
      <c r="D9" s="2">
        <v>0.17130000000000001</v>
      </c>
      <c r="E9" s="2">
        <v>1.3301000000000001</v>
      </c>
      <c r="F9" s="2">
        <v>28.937999999999999</v>
      </c>
      <c r="G9" s="2">
        <v>38.49</v>
      </c>
      <c r="H9" s="2">
        <v>33.531999999999996</v>
      </c>
      <c r="I9" s="2">
        <v>4.9580000000000002</v>
      </c>
      <c r="J9" s="2">
        <v>9.5389999999999997</v>
      </c>
      <c r="K9" s="2">
        <v>8.516</v>
      </c>
      <c r="L9" s="2">
        <v>87.12</v>
      </c>
      <c r="M9" s="2" t="s">
        <v>591</v>
      </c>
      <c r="N9" s="2">
        <v>3</v>
      </c>
      <c r="O9" s="2" t="s">
        <v>661</v>
      </c>
      <c r="P9" s="2">
        <v>329</v>
      </c>
      <c r="Q9" s="2" t="s">
        <v>606</v>
      </c>
    </row>
    <row r="10" spans="1:17" x14ac:dyDescent="0.35">
      <c r="B10" s="2" t="s">
        <v>590</v>
      </c>
      <c r="C10" s="2">
        <v>0.88739999999999997</v>
      </c>
      <c r="D10" s="2">
        <v>0.17560000000000001</v>
      </c>
      <c r="E10" s="2">
        <v>1.0629999999999999</v>
      </c>
      <c r="F10" s="2">
        <v>37.706000000000003</v>
      </c>
      <c r="G10" s="2">
        <v>40.082999999999998</v>
      </c>
      <c r="H10" s="2">
        <v>33.460999999999999</v>
      </c>
      <c r="I10" s="2">
        <v>6.6219999999999999</v>
      </c>
      <c r="J10" s="2">
        <v>9.8919999999999995</v>
      </c>
      <c r="K10" s="2">
        <v>8.5210000000000008</v>
      </c>
      <c r="L10" s="2">
        <v>83.48</v>
      </c>
      <c r="M10" s="2" t="s">
        <v>591</v>
      </c>
      <c r="N10" s="2">
        <v>4</v>
      </c>
      <c r="O10" s="2" t="s">
        <v>661</v>
      </c>
      <c r="P10" s="2">
        <v>329</v>
      </c>
      <c r="Q10" s="2" t="s">
        <v>606</v>
      </c>
    </row>
    <row r="11" spans="1:17" x14ac:dyDescent="0.35">
      <c r="B11" s="2" t="s">
        <v>662</v>
      </c>
      <c r="C11" s="2">
        <v>0.71230000000000004</v>
      </c>
      <c r="D11" s="2">
        <v>0.1784</v>
      </c>
      <c r="E11" s="2">
        <v>0.89070000000000005</v>
      </c>
      <c r="F11" s="2">
        <v>47.209000000000003</v>
      </c>
      <c r="G11" s="2">
        <v>42.046999999999997</v>
      </c>
      <c r="H11" s="2">
        <v>33.625999999999998</v>
      </c>
      <c r="I11" s="2">
        <v>8.4209999999999994</v>
      </c>
      <c r="J11" s="2">
        <v>10.252000000000001</v>
      </c>
      <c r="K11" s="2">
        <v>8.5269999999999992</v>
      </c>
      <c r="L11" s="2">
        <v>79.97</v>
      </c>
      <c r="M11" s="2" t="s">
        <v>591</v>
      </c>
      <c r="N11" s="2">
        <v>5</v>
      </c>
      <c r="O11" s="2" t="s">
        <v>661</v>
      </c>
      <c r="P11" s="2">
        <v>329</v>
      </c>
      <c r="Q11" s="2" t="s">
        <v>606</v>
      </c>
    </row>
  </sheetData>
  <autoFilter ref="A1:Q9" xr:uid="{00000000-0009-0000-0000-00001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F799-6A4B-48B5-9C61-5829A1078780}">
  <dimension ref="A1:H7"/>
  <sheetViews>
    <sheetView workbookViewId="0">
      <pane ySplit="1" topLeftCell="A2" activePane="bottomLeft" state="frozen"/>
      <selection pane="bottomLeft" activeCell="C24" sqref="C24"/>
    </sheetView>
  </sheetViews>
  <sheetFormatPr defaultRowHeight="14.5" x14ac:dyDescent="0.35"/>
  <cols>
    <col min="1" max="1" width="16" customWidth="1"/>
    <col min="2" max="2" width="29" customWidth="1"/>
    <col min="3" max="3" width="16" customWidth="1"/>
    <col min="4" max="4" width="15" customWidth="1"/>
    <col min="5" max="5" width="12" customWidth="1"/>
    <col min="6" max="8" width="30" customWidth="1"/>
  </cols>
  <sheetData>
    <row r="1" spans="1:8" ht="30" customHeight="1" x14ac:dyDescent="0.35">
      <c r="A1" s="1" t="s">
        <v>607</v>
      </c>
      <c r="B1" s="1" t="s">
        <v>608</v>
      </c>
      <c r="C1" s="1" t="s">
        <v>609</v>
      </c>
      <c r="D1" s="1" t="s">
        <v>610</v>
      </c>
      <c r="E1" s="1" t="s">
        <v>611</v>
      </c>
      <c r="F1" s="1" t="s">
        <v>612</v>
      </c>
      <c r="G1" s="1" t="s">
        <v>613</v>
      </c>
      <c r="H1" s="1" t="s">
        <v>614</v>
      </c>
    </row>
    <row r="2" spans="1:8" x14ac:dyDescent="0.35">
      <c r="A2" s="2" t="s">
        <v>365</v>
      </c>
      <c r="B2" s="2">
        <v>1</v>
      </c>
      <c r="C2" s="2">
        <v>24</v>
      </c>
      <c r="D2" s="2">
        <v>24</v>
      </c>
      <c r="E2" s="2" t="s">
        <v>615</v>
      </c>
      <c r="F2" s="2" t="s">
        <v>616</v>
      </c>
      <c r="G2" s="2" t="s">
        <v>617</v>
      </c>
      <c r="H2" s="2" t="s">
        <v>618</v>
      </c>
    </row>
    <row r="3" spans="1:8" x14ac:dyDescent="0.35">
      <c r="A3" s="2" t="s">
        <v>619</v>
      </c>
      <c r="B3" s="2">
        <v>1.2466999999999999</v>
      </c>
      <c r="C3" s="2">
        <v>374</v>
      </c>
      <c r="D3" s="2">
        <v>300</v>
      </c>
      <c r="E3" s="2" t="s">
        <v>620</v>
      </c>
      <c r="F3" s="2" t="s">
        <v>616</v>
      </c>
      <c r="G3" s="2" t="s">
        <v>617</v>
      </c>
      <c r="H3" s="2" t="s">
        <v>621</v>
      </c>
    </row>
    <row r="4" spans="1:8" x14ac:dyDescent="0.35">
      <c r="A4" s="2" t="s">
        <v>622</v>
      </c>
      <c r="B4" s="2">
        <v>0.66669999999999996</v>
      </c>
      <c r="C4" s="2">
        <v>128</v>
      </c>
      <c r="D4" s="2">
        <v>192</v>
      </c>
      <c r="E4" s="2" t="s">
        <v>623</v>
      </c>
      <c r="F4" s="2" t="s">
        <v>616</v>
      </c>
      <c r="G4" s="2" t="s">
        <v>617</v>
      </c>
      <c r="H4" s="2" t="s">
        <v>624</v>
      </c>
    </row>
    <row r="5" spans="1:8" x14ac:dyDescent="0.35">
      <c r="A5" s="2" t="s">
        <v>625</v>
      </c>
      <c r="B5" s="2">
        <v>0.8306</v>
      </c>
      <c r="C5" s="2">
        <v>47.365000000000002</v>
      </c>
      <c r="D5" s="2">
        <v>57.024999999999999</v>
      </c>
      <c r="E5" s="2" t="s">
        <v>626</v>
      </c>
      <c r="F5" s="2" t="s">
        <v>616</v>
      </c>
      <c r="G5" s="2" t="s">
        <v>617</v>
      </c>
      <c r="H5" s="2" t="s">
        <v>627</v>
      </c>
    </row>
    <row r="6" spans="1:8" x14ac:dyDescent="0.35">
      <c r="A6" s="2" t="s">
        <v>628</v>
      </c>
      <c r="B6" s="2">
        <v>0.99790000000000001</v>
      </c>
      <c r="C6" s="2">
        <v>40.344999999999999</v>
      </c>
      <c r="D6" s="2">
        <v>40.43</v>
      </c>
      <c r="E6" s="2" t="s">
        <v>629</v>
      </c>
      <c r="F6" s="2" t="s">
        <v>616</v>
      </c>
      <c r="G6" s="2" t="s">
        <v>617</v>
      </c>
      <c r="H6" s="2" t="s">
        <v>630</v>
      </c>
    </row>
    <row r="7" spans="1:8" x14ac:dyDescent="0.35">
      <c r="A7" s="2" t="s">
        <v>631</v>
      </c>
      <c r="B7" s="2">
        <v>1.2014</v>
      </c>
      <c r="C7" s="2">
        <v>0.8518</v>
      </c>
      <c r="D7" s="2">
        <v>0.70899999999999996</v>
      </c>
      <c r="E7" s="2" t="s">
        <v>632</v>
      </c>
      <c r="F7" s="2" t="s">
        <v>616</v>
      </c>
      <c r="G7" s="2" t="s">
        <v>617</v>
      </c>
      <c r="H7" s="2" t="s">
        <v>633</v>
      </c>
    </row>
  </sheetData>
  <autoFilter ref="A1:H7" xr:uid="{00000000-0009-0000-0000-000014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1AFF-76F4-4929-86BE-0B50173F1708}">
  <dimension ref="A1:K14"/>
  <sheetViews>
    <sheetView workbookViewId="0">
      <pane ySplit="1" topLeftCell="A2" activePane="bottomLeft" state="frozen"/>
      <selection pane="bottomLeft" activeCell="B20" sqref="B20"/>
    </sheetView>
  </sheetViews>
  <sheetFormatPr defaultRowHeight="14.5" x14ac:dyDescent="0.35"/>
  <cols>
    <col min="1" max="1" width="19" customWidth="1"/>
    <col min="2" max="2" width="15" customWidth="1"/>
    <col min="3" max="3" width="13" customWidth="1"/>
    <col min="4" max="5" width="14" customWidth="1"/>
    <col min="6" max="6" width="10" customWidth="1"/>
    <col min="7" max="7" width="15" customWidth="1"/>
    <col min="8" max="8" width="11" customWidth="1"/>
    <col min="9" max="9" width="20" customWidth="1"/>
    <col min="10" max="10" width="10" customWidth="1"/>
    <col min="11" max="11" width="30" customWidth="1"/>
  </cols>
  <sheetData>
    <row r="1" spans="1:11" ht="30" customHeight="1" x14ac:dyDescent="0.35">
      <c r="A1" s="1" t="s">
        <v>634</v>
      </c>
      <c r="B1" s="1" t="s">
        <v>635</v>
      </c>
      <c r="C1" s="1" t="s">
        <v>636</v>
      </c>
      <c r="D1" s="1" t="s">
        <v>637</v>
      </c>
      <c r="E1" s="1" t="s">
        <v>638</v>
      </c>
      <c r="F1" s="1" t="s">
        <v>639</v>
      </c>
      <c r="G1" s="1" t="s">
        <v>640</v>
      </c>
      <c r="H1" s="1" t="s">
        <v>1</v>
      </c>
      <c r="I1" s="1" t="s">
        <v>641</v>
      </c>
      <c r="J1" s="1" t="s">
        <v>642</v>
      </c>
      <c r="K1" s="1" t="s">
        <v>643</v>
      </c>
    </row>
    <row r="2" spans="1:11" x14ac:dyDescent="0.35">
      <c r="A2" s="2" t="s">
        <v>644</v>
      </c>
      <c r="B2" s="2">
        <v>6.048</v>
      </c>
      <c r="C2" s="2">
        <v>19.395</v>
      </c>
      <c r="D2" s="2">
        <v>25.443000000000001</v>
      </c>
      <c r="E2" s="2">
        <v>6</v>
      </c>
      <c r="F2" s="2" t="s">
        <v>342</v>
      </c>
      <c r="G2" s="2" t="s">
        <v>645</v>
      </c>
      <c r="H2" s="2">
        <v>400</v>
      </c>
      <c r="I2" s="2" t="s">
        <v>437</v>
      </c>
      <c r="J2" s="2">
        <v>5</v>
      </c>
      <c r="K2" s="2" t="s">
        <v>646</v>
      </c>
    </row>
    <row r="3" spans="1:11" x14ac:dyDescent="0.35">
      <c r="A3" s="2" t="s">
        <v>647</v>
      </c>
      <c r="B3" s="2">
        <v>6.56</v>
      </c>
      <c r="C3" s="2">
        <v>20.091000000000001</v>
      </c>
      <c r="D3" s="2">
        <v>26.651</v>
      </c>
      <c r="E3" s="2">
        <v>10</v>
      </c>
      <c r="F3" s="2" t="s">
        <v>337</v>
      </c>
      <c r="G3" s="2" t="s">
        <v>645</v>
      </c>
      <c r="H3" s="2">
        <v>375</v>
      </c>
      <c r="I3" s="2" t="s">
        <v>437</v>
      </c>
      <c r="J3" s="2">
        <v>5</v>
      </c>
      <c r="K3" s="2" t="s">
        <v>648</v>
      </c>
    </row>
    <row r="4" spans="1:11" x14ac:dyDescent="0.35">
      <c r="A4" s="2" t="s">
        <v>664</v>
      </c>
      <c r="B4" s="2">
        <v>6.6550000000000002</v>
      </c>
      <c r="C4" s="2">
        <v>20.108000000000001</v>
      </c>
      <c r="D4" s="2">
        <v>26.763999999999999</v>
      </c>
      <c r="E4" s="2">
        <v>12</v>
      </c>
      <c r="F4" s="2" t="s">
        <v>665</v>
      </c>
      <c r="G4" s="2" t="s">
        <v>649</v>
      </c>
      <c r="H4" s="2">
        <v>394</v>
      </c>
      <c r="I4" s="2" t="s">
        <v>437</v>
      </c>
      <c r="J4" s="2">
        <v>2</v>
      </c>
      <c r="K4" s="2" t="s">
        <v>724</v>
      </c>
    </row>
    <row r="5" spans="1:11" x14ac:dyDescent="0.35">
      <c r="A5" s="2" t="s">
        <v>650</v>
      </c>
      <c r="B5" s="2">
        <v>7.1390000000000002</v>
      </c>
      <c r="C5" s="2">
        <v>20.448</v>
      </c>
      <c r="D5" s="2">
        <v>27.587</v>
      </c>
      <c r="E5" s="2">
        <v>13</v>
      </c>
      <c r="F5" s="2" t="s">
        <v>332</v>
      </c>
      <c r="G5" s="2" t="s">
        <v>645</v>
      </c>
      <c r="H5" s="2">
        <v>350</v>
      </c>
      <c r="I5" s="2" t="s">
        <v>437</v>
      </c>
      <c r="J5" s="2">
        <v>5</v>
      </c>
      <c r="K5" s="2" t="s">
        <v>651</v>
      </c>
    </row>
    <row r="6" spans="1:11" x14ac:dyDescent="0.35">
      <c r="A6" s="2" t="s">
        <v>652</v>
      </c>
      <c r="B6" s="2">
        <v>7.5279999999999996</v>
      </c>
      <c r="C6" s="2">
        <v>23.309000000000001</v>
      </c>
      <c r="D6" s="2">
        <v>30.837</v>
      </c>
      <c r="E6" s="2">
        <v>17</v>
      </c>
      <c r="F6" s="2" t="s">
        <v>314</v>
      </c>
      <c r="G6" s="2" t="s">
        <v>645</v>
      </c>
      <c r="H6" s="2">
        <v>325</v>
      </c>
      <c r="I6" s="2" t="s">
        <v>425</v>
      </c>
      <c r="J6" s="2">
        <v>5</v>
      </c>
      <c r="K6" s="2" t="s">
        <v>653</v>
      </c>
    </row>
    <row r="7" spans="1:11" x14ac:dyDescent="0.35">
      <c r="A7" s="2" t="s">
        <v>717</v>
      </c>
      <c r="B7" s="2">
        <v>7.5140000000000002</v>
      </c>
      <c r="C7" s="2">
        <v>23.353000000000002</v>
      </c>
      <c r="D7" s="2">
        <v>30.867000000000001</v>
      </c>
      <c r="E7" s="2">
        <v>18</v>
      </c>
      <c r="F7" s="2" t="s">
        <v>725</v>
      </c>
      <c r="G7" s="2" t="s">
        <v>649</v>
      </c>
      <c r="H7" s="2">
        <v>399</v>
      </c>
      <c r="I7" s="2" t="s">
        <v>425</v>
      </c>
      <c r="J7" s="2">
        <v>3</v>
      </c>
      <c r="K7" s="2" t="s">
        <v>726</v>
      </c>
    </row>
    <row r="8" spans="1:11" x14ac:dyDescent="0.35">
      <c r="A8" s="2" t="s">
        <v>720</v>
      </c>
      <c r="B8" s="2">
        <v>7.7160000000000002</v>
      </c>
      <c r="C8" s="2">
        <v>23.669</v>
      </c>
      <c r="D8" s="2">
        <v>31.385999999999999</v>
      </c>
      <c r="E8" s="2">
        <v>20</v>
      </c>
      <c r="F8" s="2" t="s">
        <v>727</v>
      </c>
      <c r="G8" s="2" t="s">
        <v>649</v>
      </c>
      <c r="H8" s="2">
        <v>361</v>
      </c>
      <c r="I8" s="2" t="s">
        <v>425</v>
      </c>
      <c r="J8" s="2">
        <v>2</v>
      </c>
      <c r="K8" s="2" t="s">
        <v>728</v>
      </c>
    </row>
    <row r="9" spans="1:11" x14ac:dyDescent="0.35">
      <c r="A9" s="2" t="s">
        <v>654</v>
      </c>
      <c r="B9" s="2">
        <v>8.2870000000000008</v>
      </c>
      <c r="C9" s="2">
        <v>24.259</v>
      </c>
      <c r="D9" s="2">
        <v>32.545999999999999</v>
      </c>
      <c r="E9" s="2">
        <v>24</v>
      </c>
      <c r="F9" s="2" t="s">
        <v>329</v>
      </c>
      <c r="G9" s="2" t="s">
        <v>645</v>
      </c>
      <c r="H9" s="2">
        <v>300</v>
      </c>
      <c r="I9" s="2" t="s">
        <v>425</v>
      </c>
      <c r="J9" s="2">
        <v>5</v>
      </c>
      <c r="K9" s="2" t="s">
        <v>655</v>
      </c>
    </row>
    <row r="10" spans="1:11" x14ac:dyDescent="0.35">
      <c r="A10" s="2" t="s">
        <v>666</v>
      </c>
      <c r="B10" s="2">
        <v>8.3650000000000002</v>
      </c>
      <c r="C10" s="2">
        <v>24.416</v>
      </c>
      <c r="D10" s="2">
        <v>32.781999999999996</v>
      </c>
      <c r="E10" s="2">
        <v>24</v>
      </c>
      <c r="F10" s="2" t="s">
        <v>667</v>
      </c>
      <c r="G10" s="2" t="s">
        <v>649</v>
      </c>
      <c r="H10" s="2">
        <v>374</v>
      </c>
      <c r="I10" s="2" t="s">
        <v>425</v>
      </c>
      <c r="J10" s="2">
        <v>8</v>
      </c>
      <c r="K10" s="2" t="s">
        <v>656</v>
      </c>
    </row>
    <row r="11" spans="1:11" x14ac:dyDescent="0.35">
      <c r="A11" s="2" t="s">
        <v>668</v>
      </c>
      <c r="B11" s="2">
        <v>9.048</v>
      </c>
      <c r="C11" s="2">
        <v>25.084</v>
      </c>
      <c r="D11" s="2">
        <v>34.131999999999998</v>
      </c>
      <c r="E11" s="2">
        <v>26</v>
      </c>
      <c r="F11" s="2" t="s">
        <v>669</v>
      </c>
      <c r="G11" s="2" t="s">
        <v>649</v>
      </c>
      <c r="H11" s="2">
        <v>341</v>
      </c>
      <c r="I11" s="2" t="s">
        <v>425</v>
      </c>
      <c r="J11" s="2">
        <v>4</v>
      </c>
      <c r="K11" s="2" t="s">
        <v>729</v>
      </c>
    </row>
    <row r="12" spans="1:11" x14ac:dyDescent="0.35">
      <c r="A12" s="2" t="s">
        <v>670</v>
      </c>
      <c r="B12" s="2">
        <v>8.64</v>
      </c>
      <c r="C12" s="2">
        <v>25.024999999999999</v>
      </c>
      <c r="D12" s="2">
        <v>33.664999999999999</v>
      </c>
      <c r="E12" s="2">
        <v>30</v>
      </c>
      <c r="F12" s="2" t="s">
        <v>671</v>
      </c>
      <c r="G12" s="2" t="s">
        <v>649</v>
      </c>
      <c r="H12" s="2">
        <v>329</v>
      </c>
      <c r="I12" s="2" t="s">
        <v>425</v>
      </c>
      <c r="J12" s="2">
        <v>10</v>
      </c>
      <c r="K12" s="2" t="s">
        <v>663</v>
      </c>
    </row>
    <row r="13" spans="1:11" x14ac:dyDescent="0.35">
      <c r="A13" s="2" t="s">
        <v>672</v>
      </c>
      <c r="B13" s="2">
        <v>8.8770000000000007</v>
      </c>
      <c r="C13" s="2">
        <v>25.183</v>
      </c>
      <c r="D13" s="2">
        <v>34.061</v>
      </c>
      <c r="E13" s="2">
        <v>30</v>
      </c>
      <c r="F13" s="2" t="s">
        <v>673</v>
      </c>
      <c r="G13" s="2" t="s">
        <v>649</v>
      </c>
      <c r="H13" s="2">
        <v>354</v>
      </c>
      <c r="I13" s="2" t="s">
        <v>425</v>
      </c>
      <c r="J13" s="2">
        <v>6</v>
      </c>
      <c r="K13" s="2" t="s">
        <v>674</v>
      </c>
    </row>
    <row r="14" spans="1:11" x14ac:dyDescent="0.35">
      <c r="A14" s="2" t="s">
        <v>657</v>
      </c>
      <c r="B14" s="2">
        <v>8.6120000000000001</v>
      </c>
      <c r="C14" s="2">
        <v>25.039000000000001</v>
      </c>
      <c r="D14" s="2">
        <v>33.651000000000003</v>
      </c>
      <c r="E14" s="2">
        <v>32</v>
      </c>
      <c r="F14" s="2" t="s">
        <v>325</v>
      </c>
      <c r="G14" s="2" t="s">
        <v>645</v>
      </c>
      <c r="H14" s="2">
        <v>250</v>
      </c>
      <c r="I14" s="2" t="s">
        <v>425</v>
      </c>
      <c r="J14" s="2">
        <v>5</v>
      </c>
      <c r="K14" s="2" t="s">
        <v>658</v>
      </c>
    </row>
  </sheetData>
  <autoFilter ref="A1:K9" xr:uid="{00000000-0009-0000-0000-000015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10D4-9005-4DDF-BCD5-88AA64EF7BA4}">
  <dimension ref="A1:S12"/>
  <sheetViews>
    <sheetView workbookViewId="0">
      <pane ySplit="1" topLeftCell="A2" activePane="bottomLeft" state="frozen"/>
      <selection pane="bottomLeft" activeCell="B20" sqref="B20"/>
    </sheetView>
  </sheetViews>
  <sheetFormatPr defaultRowHeight="14.5" x14ac:dyDescent="0.35"/>
  <cols>
    <col min="1" max="1" width="12" customWidth="1"/>
    <col min="2" max="3" width="16" customWidth="1"/>
    <col min="4" max="4" width="17" customWidth="1"/>
    <col min="5" max="5" width="16" customWidth="1"/>
    <col min="6" max="7" width="17" customWidth="1"/>
    <col min="8" max="9" width="18" customWidth="1"/>
    <col min="10" max="10" width="19" customWidth="1"/>
    <col min="11" max="11" width="18" customWidth="1"/>
    <col min="12" max="13" width="19" customWidth="1"/>
    <col min="14" max="14" width="10" customWidth="1"/>
    <col min="15" max="15" width="13" customWidth="1"/>
    <col min="16" max="17" width="10" customWidth="1"/>
    <col min="18" max="18" width="17" customWidth="1"/>
    <col min="19" max="19" width="30" customWidth="1"/>
  </cols>
  <sheetData>
    <row r="1" spans="1:19" ht="30" customHeight="1" x14ac:dyDescent="0.35">
      <c r="A1" s="1" t="s">
        <v>55</v>
      </c>
      <c r="B1" s="1" t="s">
        <v>554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54</v>
      </c>
      <c r="O1" s="1" t="s">
        <v>57</v>
      </c>
      <c r="P1" s="1" t="s">
        <v>6</v>
      </c>
      <c r="Q1" s="1" t="s">
        <v>7</v>
      </c>
      <c r="R1" s="1" t="s">
        <v>56</v>
      </c>
      <c r="S1" s="1" t="s">
        <v>194</v>
      </c>
    </row>
    <row r="2" spans="1:19" x14ac:dyDescent="0.35">
      <c r="A2" s="2" t="s">
        <v>67</v>
      </c>
      <c r="B2" s="2">
        <v>4.9105999999999996</v>
      </c>
      <c r="C2" s="2">
        <v>2.6391</v>
      </c>
      <c r="D2" s="2">
        <v>2.105</v>
      </c>
      <c r="E2" s="2">
        <v>1.5054000000000001</v>
      </c>
      <c r="F2" s="2">
        <v>1.6302000000000001</v>
      </c>
      <c r="G2" s="2">
        <v>0.96989999999999998</v>
      </c>
      <c r="H2" s="2">
        <v>0</v>
      </c>
      <c r="I2" s="2">
        <v>0</v>
      </c>
      <c r="J2" s="2">
        <v>64</v>
      </c>
      <c r="K2" s="2">
        <v>0</v>
      </c>
      <c r="L2" s="2">
        <v>256</v>
      </c>
      <c r="M2" s="2">
        <v>0</v>
      </c>
      <c r="N2" s="2" t="s">
        <v>66</v>
      </c>
      <c r="O2" s="2">
        <v>1</v>
      </c>
      <c r="P2" s="2">
        <v>512</v>
      </c>
      <c r="Q2" s="2">
        <v>512</v>
      </c>
      <c r="R2" s="3">
        <v>262144</v>
      </c>
      <c r="S2" s="2" t="s">
        <v>566</v>
      </c>
    </row>
    <row r="3" spans="1:19" x14ac:dyDescent="0.35">
      <c r="A3" s="2" t="s">
        <v>69</v>
      </c>
      <c r="B3" s="2">
        <v>11.0585</v>
      </c>
      <c r="C3" s="2">
        <v>5.8827999999999996</v>
      </c>
      <c r="D3" s="2">
        <v>4.1963999999999997</v>
      </c>
      <c r="E3" s="2">
        <v>3.3788</v>
      </c>
      <c r="F3" s="2">
        <v>2.4611999999999998</v>
      </c>
      <c r="G3" s="2">
        <v>2.8801000000000001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256</v>
      </c>
      <c r="N3" s="2" t="s">
        <v>68</v>
      </c>
      <c r="O3" s="2">
        <v>2</v>
      </c>
      <c r="P3" s="2">
        <v>768</v>
      </c>
      <c r="Q3" s="2">
        <v>768</v>
      </c>
      <c r="R3" s="3">
        <v>589824</v>
      </c>
      <c r="S3" s="2" t="s">
        <v>566</v>
      </c>
    </row>
    <row r="4" spans="1:19" x14ac:dyDescent="0.35">
      <c r="A4" s="2" t="s">
        <v>71</v>
      </c>
      <c r="B4" s="2">
        <v>19.488299999999999</v>
      </c>
      <c r="C4" s="2">
        <v>10.433299999999999</v>
      </c>
      <c r="D4" s="2">
        <v>8.3293999999999997</v>
      </c>
      <c r="E4" s="2">
        <v>5.9720000000000004</v>
      </c>
      <c r="F4" s="2">
        <v>4.8741000000000003</v>
      </c>
      <c r="G4" s="2">
        <v>3.8020999999999998</v>
      </c>
      <c r="H4" s="2">
        <v>0</v>
      </c>
      <c r="I4" s="2">
        <v>0</v>
      </c>
      <c r="J4" s="2">
        <v>128</v>
      </c>
      <c r="K4" s="2">
        <v>0</v>
      </c>
      <c r="L4" s="2">
        <v>128</v>
      </c>
      <c r="M4" s="2">
        <v>0</v>
      </c>
      <c r="N4" s="2" t="s">
        <v>70</v>
      </c>
      <c r="O4" s="2">
        <v>3</v>
      </c>
      <c r="P4" s="3">
        <v>1024</v>
      </c>
      <c r="Q4" s="3">
        <v>1024</v>
      </c>
      <c r="R4" s="3">
        <v>1048576</v>
      </c>
      <c r="S4" s="2" t="s">
        <v>566</v>
      </c>
    </row>
    <row r="5" spans="1:19" x14ac:dyDescent="0.35">
      <c r="A5" s="2" t="s">
        <v>73</v>
      </c>
      <c r="B5" s="2">
        <v>44.1648</v>
      </c>
      <c r="C5" s="2">
        <v>23.4419</v>
      </c>
      <c r="D5" s="2">
        <v>16.583200000000001</v>
      </c>
      <c r="E5" s="2">
        <v>13.552300000000001</v>
      </c>
      <c r="F5" s="2">
        <v>9.8201999999999998</v>
      </c>
      <c r="G5" s="2">
        <v>8.8222000000000005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 t="s">
        <v>72</v>
      </c>
      <c r="O5" s="2">
        <v>4</v>
      </c>
      <c r="P5" s="3">
        <v>3072</v>
      </c>
      <c r="Q5" s="2">
        <v>768</v>
      </c>
      <c r="R5" s="3">
        <v>2359296</v>
      </c>
      <c r="S5" s="2" t="s">
        <v>566</v>
      </c>
    </row>
    <row r="6" spans="1:19" x14ac:dyDescent="0.35">
      <c r="A6" s="2" t="s">
        <v>75</v>
      </c>
      <c r="B6" s="2">
        <v>43.5779</v>
      </c>
      <c r="C6" s="2">
        <v>23.357900000000001</v>
      </c>
      <c r="D6" s="2">
        <v>16.564</v>
      </c>
      <c r="E6" s="2">
        <v>13.3446</v>
      </c>
      <c r="F6" s="2">
        <v>9.7149000000000001</v>
      </c>
      <c r="G6" s="2">
        <v>11.4574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256</v>
      </c>
      <c r="N6" s="2" t="s">
        <v>74</v>
      </c>
      <c r="O6" s="2">
        <v>5</v>
      </c>
      <c r="P6" s="2">
        <v>768</v>
      </c>
      <c r="Q6" s="3">
        <v>3072</v>
      </c>
      <c r="R6" s="3">
        <v>2359296</v>
      </c>
      <c r="S6" s="2" t="s">
        <v>566</v>
      </c>
    </row>
    <row r="7" spans="1:19" x14ac:dyDescent="0.35">
      <c r="A7" s="2" t="s">
        <v>77</v>
      </c>
      <c r="B7" s="2">
        <v>78.117500000000007</v>
      </c>
      <c r="C7" s="2">
        <v>42.035499999999999</v>
      </c>
      <c r="D7" s="2">
        <v>30.308599999999998</v>
      </c>
      <c r="E7" s="2">
        <v>24.0229</v>
      </c>
      <c r="F7" s="2">
        <v>17.830400000000001</v>
      </c>
      <c r="G7" s="2">
        <v>15.446899999999999</v>
      </c>
      <c r="H7" s="2">
        <v>0</v>
      </c>
      <c r="I7" s="2">
        <v>0</v>
      </c>
      <c r="J7" s="2">
        <v>128</v>
      </c>
      <c r="K7" s="2">
        <v>0</v>
      </c>
      <c r="L7" s="2">
        <v>128</v>
      </c>
      <c r="M7" s="2">
        <v>0</v>
      </c>
      <c r="N7" s="2" t="s">
        <v>76</v>
      </c>
      <c r="O7" s="2">
        <v>6</v>
      </c>
      <c r="P7" s="3">
        <v>4096</v>
      </c>
      <c r="Q7" s="3">
        <v>1024</v>
      </c>
      <c r="R7" s="3">
        <v>4194304</v>
      </c>
      <c r="S7" s="2" t="s">
        <v>566</v>
      </c>
    </row>
    <row r="8" spans="1:19" x14ac:dyDescent="0.35">
      <c r="A8" s="2" t="s">
        <v>79</v>
      </c>
      <c r="B8" s="2">
        <v>77.310500000000005</v>
      </c>
      <c r="C8" s="2">
        <v>41.353900000000003</v>
      </c>
      <c r="D8" s="2">
        <v>33.2667</v>
      </c>
      <c r="E8" s="2">
        <v>23.8428</v>
      </c>
      <c r="F8" s="2">
        <v>19.156700000000001</v>
      </c>
      <c r="G8" s="2">
        <v>15.355600000000001</v>
      </c>
      <c r="H8" s="2">
        <v>0</v>
      </c>
      <c r="I8" s="2">
        <v>0</v>
      </c>
      <c r="J8" s="2">
        <v>128</v>
      </c>
      <c r="K8" s="2">
        <v>0</v>
      </c>
      <c r="L8" s="2">
        <v>128</v>
      </c>
      <c r="M8" s="2">
        <v>0</v>
      </c>
      <c r="N8" s="2" t="s">
        <v>78</v>
      </c>
      <c r="O8" s="2">
        <v>7</v>
      </c>
      <c r="P8" s="3">
        <v>1024</v>
      </c>
      <c r="Q8" s="3">
        <v>4096</v>
      </c>
      <c r="R8" s="3">
        <v>4194304</v>
      </c>
      <c r="S8" s="2" t="s">
        <v>566</v>
      </c>
    </row>
    <row r="9" spans="1:19" x14ac:dyDescent="0.35">
      <c r="A9" s="2" t="s">
        <v>81</v>
      </c>
      <c r="B9" s="2">
        <v>77.762699999999995</v>
      </c>
      <c r="C9" s="2">
        <v>41.650799999999997</v>
      </c>
      <c r="D9" s="2">
        <v>30.501899999999999</v>
      </c>
      <c r="E9" s="2">
        <v>23.693999999999999</v>
      </c>
      <c r="F9" s="2">
        <v>19.448499999999999</v>
      </c>
      <c r="G9" s="2">
        <v>15.3422</v>
      </c>
      <c r="H9" s="2">
        <v>0</v>
      </c>
      <c r="I9" s="2">
        <v>0</v>
      </c>
      <c r="J9" s="2">
        <v>64</v>
      </c>
      <c r="K9" s="2">
        <v>0</v>
      </c>
      <c r="L9" s="2">
        <v>256</v>
      </c>
      <c r="M9" s="2">
        <v>0</v>
      </c>
      <c r="N9" s="2" t="s">
        <v>80</v>
      </c>
      <c r="O9" s="2">
        <v>8</v>
      </c>
      <c r="P9" s="3">
        <v>2048</v>
      </c>
      <c r="Q9" s="3">
        <v>2048</v>
      </c>
      <c r="R9" s="3">
        <v>4194304</v>
      </c>
      <c r="S9" s="2" t="s">
        <v>566</v>
      </c>
    </row>
    <row r="10" spans="1:19" x14ac:dyDescent="0.35">
      <c r="A10" s="2" t="s">
        <v>83</v>
      </c>
      <c r="B10" s="2">
        <v>310.60899999999998</v>
      </c>
      <c r="C10" s="2">
        <v>167.61920000000001</v>
      </c>
      <c r="D10" s="2">
        <v>120.8005</v>
      </c>
      <c r="E10" s="2">
        <v>94.877099999999999</v>
      </c>
      <c r="F10" s="2">
        <v>71.283299999999997</v>
      </c>
      <c r="G10" s="2">
        <v>61.622300000000003</v>
      </c>
      <c r="H10" s="2">
        <v>0</v>
      </c>
      <c r="I10" s="2">
        <v>0</v>
      </c>
      <c r="J10" s="2">
        <v>128</v>
      </c>
      <c r="K10" s="2">
        <v>0</v>
      </c>
      <c r="L10" s="2">
        <v>128</v>
      </c>
      <c r="M10" s="2">
        <v>0</v>
      </c>
      <c r="N10" s="2" t="s">
        <v>82</v>
      </c>
      <c r="O10" s="2">
        <v>9</v>
      </c>
      <c r="P10" s="3">
        <v>4096</v>
      </c>
      <c r="Q10" s="3">
        <v>4096</v>
      </c>
      <c r="R10" s="3">
        <v>16777216</v>
      </c>
      <c r="S10" s="2" t="s">
        <v>566</v>
      </c>
    </row>
    <row r="11" spans="1:19" x14ac:dyDescent="0.35">
      <c r="A11" s="2" t="s">
        <v>85</v>
      </c>
      <c r="B11" s="2">
        <v>309.00819999999999</v>
      </c>
      <c r="C11" s="2">
        <v>166.7927</v>
      </c>
      <c r="D11" s="2">
        <v>117.00109999999999</v>
      </c>
      <c r="E11" s="2">
        <v>94.581400000000002</v>
      </c>
      <c r="F11" s="2">
        <v>71.784300000000002</v>
      </c>
      <c r="G11" s="2">
        <v>61.404000000000003</v>
      </c>
      <c r="H11" s="2">
        <v>0</v>
      </c>
      <c r="I11" s="2">
        <v>0</v>
      </c>
      <c r="J11" s="2">
        <v>64</v>
      </c>
      <c r="K11" s="2">
        <v>0</v>
      </c>
      <c r="L11" s="2">
        <v>256</v>
      </c>
      <c r="M11" s="2">
        <v>0</v>
      </c>
      <c r="N11" s="2" t="s">
        <v>84</v>
      </c>
      <c r="O11" s="2">
        <v>10</v>
      </c>
      <c r="P11" s="3">
        <v>8192</v>
      </c>
      <c r="Q11" s="3">
        <v>2048</v>
      </c>
      <c r="R11" s="3">
        <v>16777216</v>
      </c>
      <c r="S11" s="2" t="s">
        <v>566</v>
      </c>
    </row>
    <row r="12" spans="1:19" x14ac:dyDescent="0.35">
      <c r="A12" s="2" t="s">
        <v>87</v>
      </c>
      <c r="B12" s="2">
        <v>309.44959999999998</v>
      </c>
      <c r="C12" s="2">
        <v>165.69370000000001</v>
      </c>
      <c r="D12" s="2">
        <v>121.2366</v>
      </c>
      <c r="E12" s="2">
        <v>95.158100000000005</v>
      </c>
      <c r="F12" s="2">
        <v>76.482200000000006</v>
      </c>
      <c r="G12" s="2">
        <v>61.640300000000003</v>
      </c>
      <c r="H12" s="2">
        <v>0</v>
      </c>
      <c r="I12" s="2">
        <v>0</v>
      </c>
      <c r="J12" s="2">
        <v>64</v>
      </c>
      <c r="K12" s="2">
        <v>0</v>
      </c>
      <c r="L12" s="2">
        <v>256</v>
      </c>
      <c r="M12" s="2">
        <v>0</v>
      </c>
      <c r="N12" s="2" t="s">
        <v>86</v>
      </c>
      <c r="O12" s="2">
        <v>11</v>
      </c>
      <c r="P12" s="3">
        <v>2048</v>
      </c>
      <c r="Q12" s="3">
        <v>8192</v>
      </c>
      <c r="R12" s="3">
        <v>16777216</v>
      </c>
      <c r="S12" s="2" t="s">
        <v>566</v>
      </c>
    </row>
  </sheetData>
  <autoFilter ref="A1:S12" xr:uid="{00000000-0009-0000-0000-00000F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2EB7-8ADC-4550-90C5-6DEC7B954442}">
  <dimension ref="A1:W6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0" customWidth="1"/>
    <col min="3" max="3" width="18" customWidth="1"/>
    <col min="4" max="4" width="19" customWidth="1"/>
    <col min="5" max="6" width="30" customWidth="1"/>
    <col min="7" max="7" width="17" customWidth="1"/>
    <col min="8" max="8" width="29" customWidth="1"/>
    <col min="9" max="9" width="12" customWidth="1"/>
    <col min="10" max="10" width="10" customWidth="1"/>
    <col min="11" max="11" width="13" customWidth="1"/>
    <col min="12" max="12" width="14" customWidth="1"/>
    <col min="13" max="13" width="11" customWidth="1"/>
    <col min="14" max="15" width="10" customWidth="1"/>
    <col min="16" max="16" width="17" customWidth="1"/>
    <col min="17" max="17" width="14" customWidth="1"/>
    <col min="18" max="18" width="23" customWidth="1"/>
    <col min="19" max="20" width="14" customWidth="1"/>
    <col min="21" max="21" width="17" customWidth="1"/>
    <col min="22" max="22" width="12" customWidth="1"/>
    <col min="23" max="23" width="30" customWidth="1"/>
  </cols>
  <sheetData>
    <row r="1" spans="1:23" ht="30" customHeight="1" x14ac:dyDescent="0.35">
      <c r="A1" s="1" t="s">
        <v>567</v>
      </c>
      <c r="B1" s="1" t="s">
        <v>356</v>
      </c>
      <c r="C1" s="1" t="s">
        <v>196</v>
      </c>
      <c r="D1" s="1" t="s">
        <v>197</v>
      </c>
      <c r="E1" s="1" t="s">
        <v>199</v>
      </c>
      <c r="F1" s="1" t="s">
        <v>200</v>
      </c>
      <c r="G1" s="1" t="s">
        <v>198</v>
      </c>
      <c r="H1" s="1" t="s">
        <v>201</v>
      </c>
      <c r="I1" s="1" t="s">
        <v>55</v>
      </c>
      <c r="J1" s="1" t="s">
        <v>54</v>
      </c>
      <c r="K1" s="1" t="s">
        <v>57</v>
      </c>
      <c r="L1" s="1" t="s">
        <v>568</v>
      </c>
      <c r="M1" s="1" t="s">
        <v>1</v>
      </c>
      <c r="N1" s="1" t="s">
        <v>6</v>
      </c>
      <c r="O1" s="1" t="s">
        <v>7</v>
      </c>
      <c r="P1" s="1" t="s">
        <v>56</v>
      </c>
      <c r="Q1" s="1" t="s">
        <v>569</v>
      </c>
      <c r="R1" s="1" t="s">
        <v>61</v>
      </c>
      <c r="S1" s="1" t="s">
        <v>91</v>
      </c>
      <c r="T1" s="1" t="s">
        <v>92</v>
      </c>
      <c r="U1" s="1" t="s">
        <v>93</v>
      </c>
      <c r="V1" s="1" t="s">
        <v>202</v>
      </c>
      <c r="W1" s="1" t="s">
        <v>194</v>
      </c>
    </row>
    <row r="2" spans="1:23" x14ac:dyDescent="0.35">
      <c r="A2" s="2" t="s">
        <v>67</v>
      </c>
      <c r="B2" s="2" t="s">
        <v>342</v>
      </c>
      <c r="C2" s="2">
        <v>123.875</v>
      </c>
      <c r="D2" s="2">
        <v>10.342000000000001</v>
      </c>
      <c r="E2" s="2">
        <v>472.54500000000002</v>
      </c>
      <c r="F2" s="2">
        <v>39.451000000000001</v>
      </c>
      <c r="G2" s="2">
        <v>134.21700000000001</v>
      </c>
      <c r="H2" s="2">
        <v>511.995</v>
      </c>
      <c r="I2" s="2" t="s">
        <v>67</v>
      </c>
      <c r="J2" s="2" t="s">
        <v>66</v>
      </c>
      <c r="K2" s="2">
        <v>1</v>
      </c>
      <c r="L2" s="2">
        <v>1</v>
      </c>
      <c r="M2" s="2">
        <v>400</v>
      </c>
      <c r="N2" s="2">
        <v>512</v>
      </c>
      <c r="O2" s="2">
        <v>512</v>
      </c>
      <c r="P2" s="3">
        <v>262144</v>
      </c>
      <c r="Q2" s="2">
        <v>0</v>
      </c>
      <c r="R2" s="2">
        <v>4.9105999999999996</v>
      </c>
      <c r="S2" s="2">
        <v>27.332000000000001</v>
      </c>
      <c r="T2" s="2">
        <v>25.225999999999999</v>
      </c>
      <c r="U2" s="2">
        <v>2.1059999999999999</v>
      </c>
      <c r="V2" s="2">
        <v>92.29</v>
      </c>
      <c r="W2" s="2" t="s">
        <v>570</v>
      </c>
    </row>
    <row r="3" spans="1:23" x14ac:dyDescent="0.35">
      <c r="B3" s="2" t="s">
        <v>337</v>
      </c>
      <c r="C3" s="2">
        <v>70.323999999999998</v>
      </c>
      <c r="D3" s="2">
        <v>8.2949999999999999</v>
      </c>
      <c r="E3" s="2">
        <v>268.26499999999999</v>
      </c>
      <c r="F3" s="2">
        <v>31.641999999999999</v>
      </c>
      <c r="G3" s="2">
        <v>78.619</v>
      </c>
      <c r="H3" s="2">
        <v>299.90699999999998</v>
      </c>
      <c r="I3" s="2" t="s">
        <v>67</v>
      </c>
      <c r="J3" s="2" t="s">
        <v>66</v>
      </c>
      <c r="K3" s="2">
        <v>1</v>
      </c>
      <c r="L3" s="2">
        <v>2</v>
      </c>
      <c r="M3" s="2">
        <v>375</v>
      </c>
      <c r="N3" s="2">
        <v>512</v>
      </c>
      <c r="O3" s="2">
        <v>512</v>
      </c>
      <c r="P3" s="3">
        <v>262144</v>
      </c>
      <c r="Q3" s="2">
        <v>0</v>
      </c>
      <c r="R3" s="2">
        <v>2.6391</v>
      </c>
      <c r="S3" s="2">
        <v>29.79</v>
      </c>
      <c r="T3" s="2">
        <v>26.646999999999998</v>
      </c>
      <c r="U3" s="2">
        <v>3.1429999999999998</v>
      </c>
      <c r="V3" s="2">
        <v>89.45</v>
      </c>
      <c r="W3" s="2" t="s">
        <v>570</v>
      </c>
    </row>
    <row r="4" spans="1:23" x14ac:dyDescent="0.35">
      <c r="B4" s="2" t="s">
        <v>332</v>
      </c>
      <c r="C4" s="2">
        <v>57.89</v>
      </c>
      <c r="D4" s="2">
        <v>9.9649999999999999</v>
      </c>
      <c r="E4" s="2">
        <v>220.83099999999999</v>
      </c>
      <c r="F4" s="2">
        <v>38.014000000000003</v>
      </c>
      <c r="G4" s="2">
        <v>67.855000000000004</v>
      </c>
      <c r="H4" s="2">
        <v>258.84500000000003</v>
      </c>
      <c r="I4" s="2" t="s">
        <v>67</v>
      </c>
      <c r="J4" s="2" t="s">
        <v>66</v>
      </c>
      <c r="K4" s="2">
        <v>1</v>
      </c>
      <c r="L4" s="2">
        <v>3</v>
      </c>
      <c r="M4" s="2">
        <v>350</v>
      </c>
      <c r="N4" s="2">
        <v>512</v>
      </c>
      <c r="O4" s="2">
        <v>512</v>
      </c>
      <c r="P4" s="3">
        <v>262144</v>
      </c>
      <c r="Q4" s="2">
        <v>64</v>
      </c>
      <c r="R4" s="2">
        <v>2.105</v>
      </c>
      <c r="S4" s="2">
        <v>32.234999999999999</v>
      </c>
      <c r="T4" s="2">
        <v>27.501000000000001</v>
      </c>
      <c r="U4" s="2">
        <v>4.734</v>
      </c>
      <c r="V4" s="2">
        <v>85.31</v>
      </c>
      <c r="W4" s="2" t="s">
        <v>570</v>
      </c>
    </row>
    <row r="5" spans="1:23" x14ac:dyDescent="0.35">
      <c r="B5" s="2" t="s">
        <v>314</v>
      </c>
      <c r="C5" s="2">
        <v>46.491</v>
      </c>
      <c r="D5" s="2">
        <v>8.1340000000000003</v>
      </c>
      <c r="E5" s="2">
        <v>177.35</v>
      </c>
      <c r="F5" s="2">
        <v>31.027999999999999</v>
      </c>
      <c r="G5" s="2">
        <v>54.625</v>
      </c>
      <c r="H5" s="2">
        <v>208.37799999999999</v>
      </c>
      <c r="I5" s="2" t="s">
        <v>67</v>
      </c>
      <c r="J5" s="2" t="s">
        <v>66</v>
      </c>
      <c r="K5" s="2">
        <v>1</v>
      </c>
      <c r="L5" s="2">
        <v>4</v>
      </c>
      <c r="M5" s="2">
        <v>325</v>
      </c>
      <c r="N5" s="2">
        <v>512</v>
      </c>
      <c r="O5" s="2">
        <v>512</v>
      </c>
      <c r="P5" s="3">
        <v>262144</v>
      </c>
      <c r="Q5" s="2">
        <v>0</v>
      </c>
      <c r="R5" s="2">
        <v>1.5054000000000001</v>
      </c>
      <c r="S5" s="2">
        <v>36.286000000000001</v>
      </c>
      <c r="T5" s="2">
        <v>30.882999999999999</v>
      </c>
      <c r="U5" s="2">
        <v>5.4029999999999996</v>
      </c>
      <c r="V5" s="2">
        <v>85.11</v>
      </c>
      <c r="W5" s="2" t="s">
        <v>570</v>
      </c>
    </row>
    <row r="6" spans="1:23" x14ac:dyDescent="0.35">
      <c r="B6" s="2" t="s">
        <v>329</v>
      </c>
      <c r="C6" s="2">
        <v>53.198</v>
      </c>
      <c r="D6" s="2">
        <v>12.711</v>
      </c>
      <c r="E6" s="2">
        <v>202.935</v>
      </c>
      <c r="F6" s="2">
        <v>48.487000000000002</v>
      </c>
      <c r="G6" s="2">
        <v>65.909000000000006</v>
      </c>
      <c r="H6" s="2">
        <v>251.423</v>
      </c>
      <c r="I6" s="2" t="s">
        <v>67</v>
      </c>
      <c r="J6" s="2" t="s">
        <v>66</v>
      </c>
      <c r="K6" s="2">
        <v>1</v>
      </c>
      <c r="L6" s="2">
        <v>5</v>
      </c>
      <c r="M6" s="2">
        <v>300</v>
      </c>
      <c r="N6" s="2">
        <v>512</v>
      </c>
      <c r="O6" s="2">
        <v>512</v>
      </c>
      <c r="P6" s="3">
        <v>262144</v>
      </c>
      <c r="Q6" s="2">
        <v>256</v>
      </c>
      <c r="R6" s="2">
        <v>1.6302000000000001</v>
      </c>
      <c r="S6" s="2">
        <v>40.43</v>
      </c>
      <c r="T6" s="2">
        <v>32.633000000000003</v>
      </c>
      <c r="U6" s="2">
        <v>7.7969999999999997</v>
      </c>
      <c r="V6" s="2">
        <v>80.709999999999994</v>
      </c>
      <c r="W6" s="2" t="s">
        <v>570</v>
      </c>
    </row>
    <row r="7" spans="1:23" x14ac:dyDescent="0.35">
      <c r="B7" s="2" t="s">
        <v>325</v>
      </c>
      <c r="C7" s="2">
        <v>32.671999999999997</v>
      </c>
      <c r="D7" s="2">
        <v>8.327</v>
      </c>
      <c r="E7" s="2">
        <v>124.634</v>
      </c>
      <c r="F7" s="2">
        <v>31.763000000000002</v>
      </c>
      <c r="G7" s="2">
        <v>40.999000000000002</v>
      </c>
      <c r="H7" s="2">
        <v>156.39699999999999</v>
      </c>
      <c r="I7" s="2" t="s">
        <v>67</v>
      </c>
      <c r="J7" s="2" t="s">
        <v>66</v>
      </c>
      <c r="K7" s="2">
        <v>1</v>
      </c>
      <c r="L7" s="2">
        <v>6</v>
      </c>
      <c r="M7" s="2">
        <v>250</v>
      </c>
      <c r="N7" s="2">
        <v>512</v>
      </c>
      <c r="O7" s="2">
        <v>512</v>
      </c>
      <c r="P7" s="3">
        <v>262144</v>
      </c>
      <c r="Q7" s="2">
        <v>0</v>
      </c>
      <c r="R7" s="2">
        <v>0.96989999999999998</v>
      </c>
      <c r="S7" s="2">
        <v>42.271000000000001</v>
      </c>
      <c r="T7" s="2">
        <v>33.686</v>
      </c>
      <c r="U7" s="2">
        <v>8.5850000000000009</v>
      </c>
      <c r="V7" s="2">
        <v>79.69</v>
      </c>
      <c r="W7" s="2" t="s">
        <v>570</v>
      </c>
    </row>
    <row r="8" spans="1:23" x14ac:dyDescent="0.35">
      <c r="A8" s="2" t="s">
        <v>69</v>
      </c>
      <c r="B8" s="2" t="s">
        <v>342</v>
      </c>
      <c r="C8" s="2">
        <v>278.96199999999999</v>
      </c>
      <c r="D8" s="2">
        <v>23.289000000000001</v>
      </c>
      <c r="E8" s="2">
        <v>472.95800000000003</v>
      </c>
      <c r="F8" s="2">
        <v>39.484999999999999</v>
      </c>
      <c r="G8" s="2">
        <v>302.25099999999998</v>
      </c>
      <c r="H8" s="2">
        <v>512.44299999999998</v>
      </c>
      <c r="I8" s="2" t="s">
        <v>69</v>
      </c>
      <c r="J8" s="2" t="s">
        <v>68</v>
      </c>
      <c r="K8" s="2">
        <v>2</v>
      </c>
      <c r="L8" s="2">
        <v>1</v>
      </c>
      <c r="M8" s="2">
        <v>400</v>
      </c>
      <c r="N8" s="2">
        <v>768</v>
      </c>
      <c r="O8" s="2">
        <v>768</v>
      </c>
      <c r="P8" s="3">
        <v>589824</v>
      </c>
      <c r="Q8" s="2">
        <v>0</v>
      </c>
      <c r="R8" s="2">
        <v>11.0585</v>
      </c>
      <c r="S8" s="2">
        <v>27.332000000000001</v>
      </c>
      <c r="T8" s="2">
        <v>25.225999999999999</v>
      </c>
      <c r="U8" s="2">
        <v>2.1059999999999999</v>
      </c>
      <c r="V8" s="2">
        <v>92.29</v>
      </c>
      <c r="W8" s="2" t="s">
        <v>570</v>
      </c>
    </row>
    <row r="9" spans="1:23" x14ac:dyDescent="0.35">
      <c r="B9" s="2" t="s">
        <v>337</v>
      </c>
      <c r="C9" s="2">
        <v>156.75899999999999</v>
      </c>
      <c r="D9" s="2">
        <v>18.489999999999998</v>
      </c>
      <c r="E9" s="2">
        <v>265.77199999999999</v>
      </c>
      <c r="F9" s="2">
        <v>31.347999999999999</v>
      </c>
      <c r="G9" s="2">
        <v>175.249</v>
      </c>
      <c r="H9" s="2">
        <v>297.12</v>
      </c>
      <c r="I9" s="2" t="s">
        <v>69</v>
      </c>
      <c r="J9" s="2" t="s">
        <v>68</v>
      </c>
      <c r="K9" s="2">
        <v>2</v>
      </c>
      <c r="L9" s="2">
        <v>2</v>
      </c>
      <c r="M9" s="2">
        <v>375</v>
      </c>
      <c r="N9" s="2">
        <v>768</v>
      </c>
      <c r="O9" s="2">
        <v>768</v>
      </c>
      <c r="P9" s="3">
        <v>589824</v>
      </c>
      <c r="Q9" s="2">
        <v>0</v>
      </c>
      <c r="R9" s="2">
        <v>5.8827999999999996</v>
      </c>
      <c r="S9" s="2">
        <v>29.79</v>
      </c>
      <c r="T9" s="2">
        <v>26.646999999999998</v>
      </c>
      <c r="U9" s="2">
        <v>3.1429999999999998</v>
      </c>
      <c r="V9" s="2">
        <v>89.45</v>
      </c>
      <c r="W9" s="2" t="s">
        <v>570</v>
      </c>
    </row>
    <row r="10" spans="1:23" x14ac:dyDescent="0.35">
      <c r="B10" s="2" t="s">
        <v>332</v>
      </c>
      <c r="C10" s="2">
        <v>115.405</v>
      </c>
      <c r="D10" s="2">
        <v>19.866</v>
      </c>
      <c r="E10" s="2">
        <v>195.66</v>
      </c>
      <c r="F10" s="2">
        <v>33.680999999999997</v>
      </c>
      <c r="G10" s="2">
        <v>135.27099999999999</v>
      </c>
      <c r="H10" s="2">
        <v>229.34100000000001</v>
      </c>
      <c r="I10" s="2" t="s">
        <v>69</v>
      </c>
      <c r="J10" s="2" t="s">
        <v>68</v>
      </c>
      <c r="K10" s="2">
        <v>2</v>
      </c>
      <c r="L10" s="2">
        <v>3</v>
      </c>
      <c r="M10" s="2">
        <v>350</v>
      </c>
      <c r="N10" s="2">
        <v>768</v>
      </c>
      <c r="O10" s="2">
        <v>768</v>
      </c>
      <c r="P10" s="3">
        <v>589824</v>
      </c>
      <c r="Q10" s="2">
        <v>0</v>
      </c>
      <c r="R10" s="2">
        <v>4.1963999999999997</v>
      </c>
      <c r="S10" s="2">
        <v>32.234999999999999</v>
      </c>
      <c r="T10" s="2">
        <v>27.501000000000001</v>
      </c>
      <c r="U10" s="2">
        <v>4.734</v>
      </c>
      <c r="V10" s="2">
        <v>85.31</v>
      </c>
      <c r="W10" s="2" t="s">
        <v>570</v>
      </c>
    </row>
    <row r="11" spans="1:23" x14ac:dyDescent="0.35">
      <c r="B11" s="2" t="s">
        <v>314</v>
      </c>
      <c r="C11" s="2">
        <v>104.34699999999999</v>
      </c>
      <c r="D11" s="2">
        <v>18.256</v>
      </c>
      <c r="E11" s="2">
        <v>176.91300000000001</v>
      </c>
      <c r="F11" s="2">
        <v>30.951000000000001</v>
      </c>
      <c r="G11" s="2">
        <v>122.60299999999999</v>
      </c>
      <c r="H11" s="2">
        <v>207.864</v>
      </c>
      <c r="I11" s="2" t="s">
        <v>69</v>
      </c>
      <c r="J11" s="2" t="s">
        <v>68</v>
      </c>
      <c r="K11" s="2">
        <v>2</v>
      </c>
      <c r="L11" s="2">
        <v>4</v>
      </c>
      <c r="M11" s="2">
        <v>325</v>
      </c>
      <c r="N11" s="2">
        <v>768</v>
      </c>
      <c r="O11" s="2">
        <v>768</v>
      </c>
      <c r="P11" s="3">
        <v>589824</v>
      </c>
      <c r="Q11" s="2">
        <v>0</v>
      </c>
      <c r="R11" s="2">
        <v>3.3788</v>
      </c>
      <c r="S11" s="2">
        <v>36.286000000000001</v>
      </c>
      <c r="T11" s="2">
        <v>30.882999999999999</v>
      </c>
      <c r="U11" s="2">
        <v>5.4029999999999996</v>
      </c>
      <c r="V11" s="2">
        <v>85.11</v>
      </c>
      <c r="W11" s="2" t="s">
        <v>570</v>
      </c>
    </row>
    <row r="12" spans="1:23" x14ac:dyDescent="0.35">
      <c r="B12" s="2" t="s">
        <v>329</v>
      </c>
      <c r="C12" s="2">
        <v>80.316000000000003</v>
      </c>
      <c r="D12" s="2">
        <v>19.190000000000001</v>
      </c>
      <c r="E12" s="2">
        <v>136.16999999999999</v>
      </c>
      <c r="F12" s="2">
        <v>32.534999999999997</v>
      </c>
      <c r="G12" s="2">
        <v>99.506</v>
      </c>
      <c r="H12" s="2">
        <v>168.70500000000001</v>
      </c>
      <c r="I12" s="2" t="s">
        <v>69</v>
      </c>
      <c r="J12" s="2" t="s">
        <v>68</v>
      </c>
      <c r="K12" s="2">
        <v>2</v>
      </c>
      <c r="L12" s="2">
        <v>5</v>
      </c>
      <c r="M12" s="2">
        <v>300</v>
      </c>
      <c r="N12" s="2">
        <v>768</v>
      </c>
      <c r="O12" s="2">
        <v>768</v>
      </c>
      <c r="P12" s="3">
        <v>589824</v>
      </c>
      <c r="Q12" s="2">
        <v>0</v>
      </c>
      <c r="R12" s="2">
        <v>2.4611999999999998</v>
      </c>
      <c r="S12" s="2">
        <v>40.43</v>
      </c>
      <c r="T12" s="2">
        <v>32.633000000000003</v>
      </c>
      <c r="U12" s="2">
        <v>7.7969999999999997</v>
      </c>
      <c r="V12" s="2">
        <v>80.709999999999994</v>
      </c>
      <c r="W12" s="2" t="s">
        <v>570</v>
      </c>
    </row>
    <row r="13" spans="1:23" x14ac:dyDescent="0.35">
      <c r="B13" s="2" t="s">
        <v>325</v>
      </c>
      <c r="C13" s="2">
        <v>97.019000000000005</v>
      </c>
      <c r="D13" s="2">
        <v>24.725999999999999</v>
      </c>
      <c r="E13" s="2">
        <v>164.488</v>
      </c>
      <c r="F13" s="2">
        <v>41.92</v>
      </c>
      <c r="G13" s="2">
        <v>121.745</v>
      </c>
      <c r="H13" s="2">
        <v>206.40899999999999</v>
      </c>
      <c r="I13" s="2" t="s">
        <v>69</v>
      </c>
      <c r="J13" s="2" t="s">
        <v>68</v>
      </c>
      <c r="K13" s="2">
        <v>2</v>
      </c>
      <c r="L13" s="2">
        <v>6</v>
      </c>
      <c r="M13" s="2">
        <v>250</v>
      </c>
      <c r="N13" s="2">
        <v>768</v>
      </c>
      <c r="O13" s="2">
        <v>768</v>
      </c>
      <c r="P13" s="3">
        <v>589824</v>
      </c>
      <c r="Q13" s="2">
        <v>256</v>
      </c>
      <c r="R13" s="2">
        <v>2.8801000000000001</v>
      </c>
      <c r="S13" s="2">
        <v>42.271000000000001</v>
      </c>
      <c r="T13" s="2">
        <v>33.686</v>
      </c>
      <c r="U13" s="2">
        <v>8.5850000000000009</v>
      </c>
      <c r="V13" s="2">
        <v>79.69</v>
      </c>
      <c r="W13" s="2" t="s">
        <v>570</v>
      </c>
    </row>
    <row r="14" spans="1:23" x14ac:dyDescent="0.35">
      <c r="A14" s="2" t="s">
        <v>71</v>
      </c>
      <c r="B14" s="2" t="s">
        <v>342</v>
      </c>
      <c r="C14" s="2">
        <v>491.61200000000002</v>
      </c>
      <c r="D14" s="2">
        <v>41.042000000000002</v>
      </c>
      <c r="E14" s="2">
        <v>468.83800000000002</v>
      </c>
      <c r="F14" s="2">
        <v>39.140999999999998</v>
      </c>
      <c r="G14" s="2">
        <v>532.654</v>
      </c>
      <c r="H14" s="2">
        <v>507.97899999999998</v>
      </c>
      <c r="I14" s="2" t="s">
        <v>71</v>
      </c>
      <c r="J14" s="2" t="s">
        <v>70</v>
      </c>
      <c r="K14" s="2">
        <v>3</v>
      </c>
      <c r="L14" s="2">
        <v>1</v>
      </c>
      <c r="M14" s="2">
        <v>400</v>
      </c>
      <c r="N14" s="3">
        <v>1024</v>
      </c>
      <c r="O14" s="3">
        <v>1024</v>
      </c>
      <c r="P14" s="3">
        <v>1048576</v>
      </c>
      <c r="Q14" s="2">
        <v>0</v>
      </c>
      <c r="R14" s="2">
        <v>19.488299999999999</v>
      </c>
      <c r="S14" s="2">
        <v>27.332000000000001</v>
      </c>
      <c r="T14" s="2">
        <v>25.225999999999999</v>
      </c>
      <c r="U14" s="2">
        <v>2.1059999999999999</v>
      </c>
      <c r="V14" s="2">
        <v>92.29</v>
      </c>
      <c r="W14" s="2" t="s">
        <v>570</v>
      </c>
    </row>
    <row r="15" spans="1:23" x14ac:dyDescent="0.35">
      <c r="B15" s="2" t="s">
        <v>337</v>
      </c>
      <c r="C15" s="2">
        <v>278.01600000000002</v>
      </c>
      <c r="D15" s="2">
        <v>32.792000000000002</v>
      </c>
      <c r="E15" s="2">
        <v>265.137</v>
      </c>
      <c r="F15" s="2">
        <v>31.273</v>
      </c>
      <c r="G15" s="2">
        <v>310.80799999999999</v>
      </c>
      <c r="H15" s="2">
        <v>296.41000000000003</v>
      </c>
      <c r="I15" s="2" t="s">
        <v>71</v>
      </c>
      <c r="J15" s="2" t="s">
        <v>70</v>
      </c>
      <c r="K15" s="2">
        <v>3</v>
      </c>
      <c r="L15" s="2">
        <v>2</v>
      </c>
      <c r="M15" s="2">
        <v>375</v>
      </c>
      <c r="N15" s="3">
        <v>1024</v>
      </c>
      <c r="O15" s="3">
        <v>1024</v>
      </c>
      <c r="P15" s="3">
        <v>1048576</v>
      </c>
      <c r="Q15" s="2">
        <v>0</v>
      </c>
      <c r="R15" s="2">
        <v>10.433299999999999</v>
      </c>
      <c r="S15" s="2">
        <v>29.79</v>
      </c>
      <c r="T15" s="2">
        <v>26.646999999999998</v>
      </c>
      <c r="U15" s="2">
        <v>3.1429999999999998</v>
      </c>
      <c r="V15" s="2">
        <v>89.45</v>
      </c>
      <c r="W15" s="2" t="s">
        <v>570</v>
      </c>
    </row>
    <row r="16" spans="1:23" x14ac:dyDescent="0.35">
      <c r="B16" s="2" t="s">
        <v>332</v>
      </c>
      <c r="C16" s="2">
        <v>229.06700000000001</v>
      </c>
      <c r="D16" s="2">
        <v>39.430999999999997</v>
      </c>
      <c r="E16" s="2">
        <v>218.45500000000001</v>
      </c>
      <c r="F16" s="2">
        <v>37.604999999999997</v>
      </c>
      <c r="G16" s="2">
        <v>268.49799999999999</v>
      </c>
      <c r="H16" s="2">
        <v>256.06</v>
      </c>
      <c r="I16" s="2" t="s">
        <v>71</v>
      </c>
      <c r="J16" s="2" t="s">
        <v>70</v>
      </c>
      <c r="K16" s="2">
        <v>3</v>
      </c>
      <c r="L16" s="2">
        <v>3</v>
      </c>
      <c r="M16" s="2">
        <v>350</v>
      </c>
      <c r="N16" s="3">
        <v>1024</v>
      </c>
      <c r="O16" s="3">
        <v>1024</v>
      </c>
      <c r="P16" s="3">
        <v>1048576</v>
      </c>
      <c r="Q16" s="2">
        <v>128</v>
      </c>
      <c r="R16" s="2">
        <v>8.3293999999999997</v>
      </c>
      <c r="S16" s="2">
        <v>32.234999999999999</v>
      </c>
      <c r="T16" s="2">
        <v>27.501000000000001</v>
      </c>
      <c r="U16" s="2">
        <v>4.734</v>
      </c>
      <c r="V16" s="2">
        <v>85.31</v>
      </c>
      <c r="W16" s="2" t="s">
        <v>570</v>
      </c>
    </row>
    <row r="17" spans="1:23" x14ac:dyDescent="0.35">
      <c r="B17" s="2" t="s">
        <v>314</v>
      </c>
      <c r="C17" s="2">
        <v>184.43299999999999</v>
      </c>
      <c r="D17" s="2">
        <v>32.267000000000003</v>
      </c>
      <c r="E17" s="2">
        <v>175.88900000000001</v>
      </c>
      <c r="F17" s="2">
        <v>30.771999999999998</v>
      </c>
      <c r="G17" s="2">
        <v>216.7</v>
      </c>
      <c r="H17" s="2">
        <v>206.661</v>
      </c>
      <c r="I17" s="2" t="s">
        <v>71</v>
      </c>
      <c r="J17" s="2" t="s">
        <v>70</v>
      </c>
      <c r="K17" s="2">
        <v>3</v>
      </c>
      <c r="L17" s="2">
        <v>4</v>
      </c>
      <c r="M17" s="2">
        <v>325</v>
      </c>
      <c r="N17" s="3">
        <v>1024</v>
      </c>
      <c r="O17" s="3">
        <v>1024</v>
      </c>
      <c r="P17" s="3">
        <v>1048576</v>
      </c>
      <c r="Q17" s="2">
        <v>0</v>
      </c>
      <c r="R17" s="2">
        <v>5.9720000000000004</v>
      </c>
      <c r="S17" s="2">
        <v>36.286000000000001</v>
      </c>
      <c r="T17" s="2">
        <v>30.882999999999999</v>
      </c>
      <c r="U17" s="2">
        <v>5.4029999999999996</v>
      </c>
      <c r="V17" s="2">
        <v>85.11</v>
      </c>
      <c r="W17" s="2" t="s">
        <v>570</v>
      </c>
    </row>
    <row r="18" spans="1:23" x14ac:dyDescent="0.35">
      <c r="B18" s="2" t="s">
        <v>329</v>
      </c>
      <c r="C18" s="2">
        <v>159.05699999999999</v>
      </c>
      <c r="D18" s="2">
        <v>38.003</v>
      </c>
      <c r="E18" s="2">
        <v>151.68799999999999</v>
      </c>
      <c r="F18" s="2">
        <v>36.243000000000002</v>
      </c>
      <c r="G18" s="2">
        <v>197.06</v>
      </c>
      <c r="H18" s="2">
        <v>187.93100000000001</v>
      </c>
      <c r="I18" s="2" t="s">
        <v>71</v>
      </c>
      <c r="J18" s="2" t="s">
        <v>70</v>
      </c>
      <c r="K18" s="2">
        <v>3</v>
      </c>
      <c r="L18" s="2">
        <v>5</v>
      </c>
      <c r="M18" s="2">
        <v>300</v>
      </c>
      <c r="N18" s="3">
        <v>1024</v>
      </c>
      <c r="O18" s="3">
        <v>1024</v>
      </c>
      <c r="P18" s="3">
        <v>1048576</v>
      </c>
      <c r="Q18" s="2">
        <v>128</v>
      </c>
      <c r="R18" s="2">
        <v>4.8741000000000003</v>
      </c>
      <c r="S18" s="2">
        <v>40.43</v>
      </c>
      <c r="T18" s="2">
        <v>32.633000000000003</v>
      </c>
      <c r="U18" s="2">
        <v>7.7969999999999997</v>
      </c>
      <c r="V18" s="2">
        <v>80.709999999999994</v>
      </c>
      <c r="W18" s="2" t="s">
        <v>570</v>
      </c>
    </row>
    <row r="19" spans="1:23" x14ac:dyDescent="0.35">
      <c r="B19" s="2" t="s">
        <v>325</v>
      </c>
      <c r="C19" s="2">
        <v>128.078</v>
      </c>
      <c r="D19" s="2">
        <v>32.640999999999998</v>
      </c>
      <c r="E19" s="2">
        <v>122.14400000000001</v>
      </c>
      <c r="F19" s="2">
        <v>31.129000000000001</v>
      </c>
      <c r="G19" s="2">
        <v>160.71899999999999</v>
      </c>
      <c r="H19" s="2">
        <v>153.273</v>
      </c>
      <c r="I19" s="2" t="s">
        <v>71</v>
      </c>
      <c r="J19" s="2" t="s">
        <v>70</v>
      </c>
      <c r="K19" s="2">
        <v>3</v>
      </c>
      <c r="L19" s="2">
        <v>6</v>
      </c>
      <c r="M19" s="2">
        <v>250</v>
      </c>
      <c r="N19" s="3">
        <v>1024</v>
      </c>
      <c r="O19" s="3">
        <v>1024</v>
      </c>
      <c r="P19" s="3">
        <v>1048576</v>
      </c>
      <c r="Q19" s="2">
        <v>0</v>
      </c>
      <c r="R19" s="2">
        <v>3.8020999999999998</v>
      </c>
      <c r="S19" s="2">
        <v>42.271000000000001</v>
      </c>
      <c r="T19" s="2">
        <v>33.686</v>
      </c>
      <c r="U19" s="2">
        <v>8.5850000000000009</v>
      </c>
      <c r="V19" s="2">
        <v>79.69</v>
      </c>
      <c r="W19" s="2" t="s">
        <v>570</v>
      </c>
    </row>
    <row r="20" spans="1:23" x14ac:dyDescent="0.35">
      <c r="A20" s="2" t="s">
        <v>73</v>
      </c>
      <c r="B20" s="2" t="s">
        <v>342</v>
      </c>
      <c r="C20" s="2">
        <v>1114.1010000000001</v>
      </c>
      <c r="D20" s="2">
        <v>93.010999999999996</v>
      </c>
      <c r="E20" s="2">
        <v>472.21800000000002</v>
      </c>
      <c r="F20" s="2">
        <v>39.423000000000002</v>
      </c>
      <c r="G20" s="2">
        <v>1207.1120000000001</v>
      </c>
      <c r="H20" s="2">
        <v>511.64100000000002</v>
      </c>
      <c r="I20" s="2" t="s">
        <v>73</v>
      </c>
      <c r="J20" s="2" t="s">
        <v>72</v>
      </c>
      <c r="K20" s="2">
        <v>4</v>
      </c>
      <c r="L20" s="2">
        <v>1</v>
      </c>
      <c r="M20" s="2">
        <v>400</v>
      </c>
      <c r="N20" s="3">
        <v>3072</v>
      </c>
      <c r="O20" s="2">
        <v>768</v>
      </c>
      <c r="P20" s="3">
        <v>2359296</v>
      </c>
      <c r="Q20" s="2">
        <v>0</v>
      </c>
      <c r="R20" s="2">
        <v>44.1648</v>
      </c>
      <c r="S20" s="2">
        <v>27.332000000000001</v>
      </c>
      <c r="T20" s="2">
        <v>25.225999999999999</v>
      </c>
      <c r="U20" s="2">
        <v>2.1059999999999999</v>
      </c>
      <c r="V20" s="2">
        <v>92.29</v>
      </c>
      <c r="W20" s="2" t="s">
        <v>570</v>
      </c>
    </row>
    <row r="21" spans="1:23" x14ac:dyDescent="0.35">
      <c r="B21" s="2" t="s">
        <v>337</v>
      </c>
      <c r="C21" s="2">
        <v>624.65599999999995</v>
      </c>
      <c r="D21" s="2">
        <v>73.677999999999997</v>
      </c>
      <c r="E21" s="2">
        <v>264.76400000000001</v>
      </c>
      <c r="F21" s="2">
        <v>31.228999999999999</v>
      </c>
      <c r="G21" s="2">
        <v>698.33399999999995</v>
      </c>
      <c r="H21" s="2">
        <v>295.99299999999999</v>
      </c>
      <c r="I21" s="2" t="s">
        <v>73</v>
      </c>
      <c r="J21" s="2" t="s">
        <v>72</v>
      </c>
      <c r="K21" s="2">
        <v>4</v>
      </c>
      <c r="L21" s="2">
        <v>2</v>
      </c>
      <c r="M21" s="2">
        <v>375</v>
      </c>
      <c r="N21" s="3">
        <v>3072</v>
      </c>
      <c r="O21" s="2">
        <v>768</v>
      </c>
      <c r="P21" s="3">
        <v>2359296</v>
      </c>
      <c r="Q21" s="2">
        <v>0</v>
      </c>
      <c r="R21" s="2">
        <v>23.4419</v>
      </c>
      <c r="S21" s="2">
        <v>29.79</v>
      </c>
      <c r="T21" s="2">
        <v>26.646999999999998</v>
      </c>
      <c r="U21" s="2">
        <v>3.1429999999999998</v>
      </c>
      <c r="V21" s="2">
        <v>89.45</v>
      </c>
      <c r="W21" s="2" t="s">
        <v>570</v>
      </c>
    </row>
    <row r="22" spans="1:23" x14ac:dyDescent="0.35">
      <c r="B22" s="2" t="s">
        <v>332</v>
      </c>
      <c r="C22" s="2">
        <v>456.05500000000001</v>
      </c>
      <c r="D22" s="2">
        <v>78.504999999999995</v>
      </c>
      <c r="E22" s="2">
        <v>193.30099999999999</v>
      </c>
      <c r="F22" s="2">
        <v>33.274999999999999</v>
      </c>
      <c r="G22" s="2">
        <v>534.55899999999997</v>
      </c>
      <c r="H22" s="2">
        <v>226.57599999999999</v>
      </c>
      <c r="I22" s="2" t="s">
        <v>73</v>
      </c>
      <c r="J22" s="2" t="s">
        <v>72</v>
      </c>
      <c r="K22" s="2">
        <v>4</v>
      </c>
      <c r="L22" s="2">
        <v>3</v>
      </c>
      <c r="M22" s="2">
        <v>350</v>
      </c>
      <c r="N22" s="3">
        <v>3072</v>
      </c>
      <c r="O22" s="2">
        <v>768</v>
      </c>
      <c r="P22" s="3">
        <v>2359296</v>
      </c>
      <c r="Q22" s="2">
        <v>0</v>
      </c>
      <c r="R22" s="2">
        <v>16.583200000000001</v>
      </c>
      <c r="S22" s="2">
        <v>32.234999999999999</v>
      </c>
      <c r="T22" s="2">
        <v>27.501000000000001</v>
      </c>
      <c r="U22" s="2">
        <v>4.734</v>
      </c>
      <c r="V22" s="2">
        <v>85.31</v>
      </c>
      <c r="W22" s="2" t="s">
        <v>570</v>
      </c>
    </row>
    <row r="23" spans="1:23" x14ac:dyDescent="0.35">
      <c r="B23" s="2" t="s">
        <v>314</v>
      </c>
      <c r="C23" s="2">
        <v>418.536</v>
      </c>
      <c r="D23" s="2">
        <v>73.222999999999999</v>
      </c>
      <c r="E23" s="2">
        <v>177.399</v>
      </c>
      <c r="F23" s="2">
        <v>31.036000000000001</v>
      </c>
      <c r="G23" s="2">
        <v>491.75900000000001</v>
      </c>
      <c r="H23" s="2">
        <v>208.435</v>
      </c>
      <c r="I23" s="2" t="s">
        <v>73</v>
      </c>
      <c r="J23" s="2" t="s">
        <v>72</v>
      </c>
      <c r="K23" s="2">
        <v>4</v>
      </c>
      <c r="L23" s="2">
        <v>4</v>
      </c>
      <c r="M23" s="2">
        <v>325</v>
      </c>
      <c r="N23" s="3">
        <v>3072</v>
      </c>
      <c r="O23" s="2">
        <v>768</v>
      </c>
      <c r="P23" s="3">
        <v>2359296</v>
      </c>
      <c r="Q23" s="2">
        <v>0</v>
      </c>
      <c r="R23" s="2">
        <v>13.552300000000001</v>
      </c>
      <c r="S23" s="2">
        <v>36.286000000000001</v>
      </c>
      <c r="T23" s="2">
        <v>30.882999999999999</v>
      </c>
      <c r="U23" s="2">
        <v>5.4029999999999996</v>
      </c>
      <c r="V23" s="2">
        <v>85.11</v>
      </c>
      <c r="W23" s="2" t="s">
        <v>570</v>
      </c>
    </row>
    <row r="24" spans="1:23" x14ac:dyDescent="0.35">
      <c r="B24" s="2" t="s">
        <v>329</v>
      </c>
      <c r="C24" s="2">
        <v>320.46300000000002</v>
      </c>
      <c r="D24" s="2">
        <v>76.567999999999998</v>
      </c>
      <c r="E24" s="2">
        <v>135.83000000000001</v>
      </c>
      <c r="F24" s="2">
        <v>32.454000000000001</v>
      </c>
      <c r="G24" s="2">
        <v>397.03100000000001</v>
      </c>
      <c r="H24" s="2">
        <v>168.28399999999999</v>
      </c>
      <c r="I24" s="2" t="s">
        <v>73</v>
      </c>
      <c r="J24" s="2" t="s">
        <v>72</v>
      </c>
      <c r="K24" s="2">
        <v>4</v>
      </c>
      <c r="L24" s="2">
        <v>5</v>
      </c>
      <c r="M24" s="2">
        <v>300</v>
      </c>
      <c r="N24" s="3">
        <v>3072</v>
      </c>
      <c r="O24" s="2">
        <v>768</v>
      </c>
      <c r="P24" s="3">
        <v>2359296</v>
      </c>
      <c r="Q24" s="2">
        <v>0</v>
      </c>
      <c r="R24" s="2">
        <v>9.8201999999999998</v>
      </c>
      <c r="S24" s="2">
        <v>40.43</v>
      </c>
      <c r="T24" s="2">
        <v>32.633000000000003</v>
      </c>
      <c r="U24" s="2">
        <v>7.7969999999999997</v>
      </c>
      <c r="V24" s="2">
        <v>80.709999999999994</v>
      </c>
      <c r="W24" s="2" t="s">
        <v>570</v>
      </c>
    </row>
    <row r="25" spans="1:23" x14ac:dyDescent="0.35">
      <c r="B25" s="2" t="s">
        <v>325</v>
      </c>
      <c r="C25" s="2">
        <v>297.185</v>
      </c>
      <c r="D25" s="2">
        <v>75.739000000000004</v>
      </c>
      <c r="E25" s="2">
        <v>125.96299999999999</v>
      </c>
      <c r="F25" s="2">
        <v>32.101999999999997</v>
      </c>
      <c r="G25" s="2">
        <v>372.923</v>
      </c>
      <c r="H25" s="2">
        <v>158.065</v>
      </c>
      <c r="I25" s="2" t="s">
        <v>73</v>
      </c>
      <c r="J25" s="2" t="s">
        <v>72</v>
      </c>
      <c r="K25" s="2">
        <v>4</v>
      </c>
      <c r="L25" s="2">
        <v>6</v>
      </c>
      <c r="M25" s="2">
        <v>250</v>
      </c>
      <c r="N25" s="3">
        <v>3072</v>
      </c>
      <c r="O25" s="2">
        <v>768</v>
      </c>
      <c r="P25" s="3">
        <v>2359296</v>
      </c>
      <c r="Q25" s="2">
        <v>0</v>
      </c>
      <c r="R25" s="2">
        <v>8.8222000000000005</v>
      </c>
      <c r="S25" s="2">
        <v>42.271000000000001</v>
      </c>
      <c r="T25" s="2">
        <v>33.686</v>
      </c>
      <c r="U25" s="2">
        <v>8.5850000000000009</v>
      </c>
      <c r="V25" s="2">
        <v>79.69</v>
      </c>
      <c r="W25" s="2" t="s">
        <v>570</v>
      </c>
    </row>
    <row r="26" spans="1:23" x14ac:dyDescent="0.35">
      <c r="A26" s="2" t="s">
        <v>75</v>
      </c>
      <c r="B26" s="2" t="s">
        <v>342</v>
      </c>
      <c r="C26" s="2">
        <v>1099.296</v>
      </c>
      <c r="D26" s="2">
        <v>91.775000000000006</v>
      </c>
      <c r="E26" s="2">
        <v>465.94200000000001</v>
      </c>
      <c r="F26" s="2">
        <v>38.899000000000001</v>
      </c>
      <c r="G26" s="2">
        <v>1191.0709999999999</v>
      </c>
      <c r="H26" s="2">
        <v>504.84199999999998</v>
      </c>
      <c r="I26" s="2" t="s">
        <v>75</v>
      </c>
      <c r="J26" s="2" t="s">
        <v>74</v>
      </c>
      <c r="K26" s="2">
        <v>5</v>
      </c>
      <c r="L26" s="2">
        <v>1</v>
      </c>
      <c r="M26" s="2">
        <v>400</v>
      </c>
      <c r="N26" s="2">
        <v>768</v>
      </c>
      <c r="O26" s="3">
        <v>3072</v>
      </c>
      <c r="P26" s="3">
        <v>2359296</v>
      </c>
      <c r="Q26" s="2">
        <v>0</v>
      </c>
      <c r="R26" s="2">
        <v>43.5779</v>
      </c>
      <c r="S26" s="2">
        <v>27.332000000000001</v>
      </c>
      <c r="T26" s="2">
        <v>25.225999999999999</v>
      </c>
      <c r="U26" s="2">
        <v>2.1059999999999999</v>
      </c>
      <c r="V26" s="2">
        <v>92.29</v>
      </c>
      <c r="W26" s="2" t="s">
        <v>570</v>
      </c>
    </row>
    <row r="27" spans="1:23" x14ac:dyDescent="0.35">
      <c r="B27" s="2" t="s">
        <v>337</v>
      </c>
      <c r="C27" s="2">
        <v>622.41800000000001</v>
      </c>
      <c r="D27" s="2">
        <v>73.414000000000001</v>
      </c>
      <c r="E27" s="2">
        <v>263.815</v>
      </c>
      <c r="F27" s="2">
        <v>31.117000000000001</v>
      </c>
      <c r="G27" s="2">
        <v>695.83199999999999</v>
      </c>
      <c r="H27" s="2">
        <v>294.93200000000002</v>
      </c>
      <c r="I27" s="2" t="s">
        <v>75</v>
      </c>
      <c r="J27" s="2" t="s">
        <v>74</v>
      </c>
      <c r="K27" s="2">
        <v>5</v>
      </c>
      <c r="L27" s="2">
        <v>2</v>
      </c>
      <c r="M27" s="2">
        <v>375</v>
      </c>
      <c r="N27" s="2">
        <v>768</v>
      </c>
      <c r="O27" s="3">
        <v>3072</v>
      </c>
      <c r="P27" s="3">
        <v>2359296</v>
      </c>
      <c r="Q27" s="2">
        <v>0</v>
      </c>
      <c r="R27" s="2">
        <v>23.357900000000001</v>
      </c>
      <c r="S27" s="2">
        <v>29.79</v>
      </c>
      <c r="T27" s="2">
        <v>26.646999999999998</v>
      </c>
      <c r="U27" s="2">
        <v>3.1429999999999998</v>
      </c>
      <c r="V27" s="2">
        <v>89.45</v>
      </c>
      <c r="W27" s="2" t="s">
        <v>570</v>
      </c>
    </row>
    <row r="28" spans="1:23" x14ac:dyDescent="0.35">
      <c r="B28" s="2" t="s">
        <v>332</v>
      </c>
      <c r="C28" s="2">
        <v>455.52699999999999</v>
      </c>
      <c r="D28" s="2">
        <v>78.414000000000001</v>
      </c>
      <c r="E28" s="2">
        <v>193.077</v>
      </c>
      <c r="F28" s="2">
        <v>33.235999999999997</v>
      </c>
      <c r="G28" s="2">
        <v>533.94100000000003</v>
      </c>
      <c r="H28" s="2">
        <v>226.31399999999999</v>
      </c>
      <c r="I28" s="2" t="s">
        <v>75</v>
      </c>
      <c r="J28" s="2" t="s">
        <v>74</v>
      </c>
      <c r="K28" s="2">
        <v>5</v>
      </c>
      <c r="L28" s="2">
        <v>3</v>
      </c>
      <c r="M28" s="2">
        <v>350</v>
      </c>
      <c r="N28" s="2">
        <v>768</v>
      </c>
      <c r="O28" s="3">
        <v>3072</v>
      </c>
      <c r="P28" s="3">
        <v>2359296</v>
      </c>
      <c r="Q28" s="2">
        <v>0</v>
      </c>
      <c r="R28" s="2">
        <v>16.564</v>
      </c>
      <c r="S28" s="2">
        <v>32.234999999999999</v>
      </c>
      <c r="T28" s="2">
        <v>27.501000000000001</v>
      </c>
      <c r="U28" s="2">
        <v>4.734</v>
      </c>
      <c r="V28" s="2">
        <v>85.31</v>
      </c>
      <c r="W28" s="2" t="s">
        <v>570</v>
      </c>
    </row>
    <row r="29" spans="1:23" x14ac:dyDescent="0.35">
      <c r="B29" s="2" t="s">
        <v>314</v>
      </c>
      <c r="C29" s="2">
        <v>412.12099999999998</v>
      </c>
      <c r="D29" s="2">
        <v>72.100999999999999</v>
      </c>
      <c r="E29" s="2">
        <v>174.68</v>
      </c>
      <c r="F29" s="2">
        <v>30.56</v>
      </c>
      <c r="G29" s="2">
        <v>484.22199999999998</v>
      </c>
      <c r="H29" s="2">
        <v>205.24</v>
      </c>
      <c r="I29" s="2" t="s">
        <v>75</v>
      </c>
      <c r="J29" s="2" t="s">
        <v>74</v>
      </c>
      <c r="K29" s="2">
        <v>5</v>
      </c>
      <c r="L29" s="2">
        <v>4</v>
      </c>
      <c r="M29" s="2">
        <v>325</v>
      </c>
      <c r="N29" s="2">
        <v>768</v>
      </c>
      <c r="O29" s="3">
        <v>3072</v>
      </c>
      <c r="P29" s="3">
        <v>2359296</v>
      </c>
      <c r="Q29" s="2">
        <v>0</v>
      </c>
      <c r="R29" s="2">
        <v>13.3446</v>
      </c>
      <c r="S29" s="2">
        <v>36.286000000000001</v>
      </c>
      <c r="T29" s="2">
        <v>30.882999999999999</v>
      </c>
      <c r="U29" s="2">
        <v>5.4029999999999996</v>
      </c>
      <c r="V29" s="2">
        <v>85.11</v>
      </c>
      <c r="W29" s="2" t="s">
        <v>570</v>
      </c>
    </row>
    <row r="30" spans="1:23" x14ac:dyDescent="0.35">
      <c r="B30" s="2" t="s">
        <v>329</v>
      </c>
      <c r="C30" s="2">
        <v>317.02600000000001</v>
      </c>
      <c r="D30" s="2">
        <v>75.747</v>
      </c>
      <c r="E30" s="2">
        <v>134.37299999999999</v>
      </c>
      <c r="F30" s="2">
        <v>32.106000000000002</v>
      </c>
      <c r="G30" s="2">
        <v>392.77300000000002</v>
      </c>
      <c r="H30" s="2">
        <v>166.47900000000001</v>
      </c>
      <c r="I30" s="2" t="s">
        <v>75</v>
      </c>
      <c r="J30" s="2" t="s">
        <v>74</v>
      </c>
      <c r="K30" s="2">
        <v>5</v>
      </c>
      <c r="L30" s="2">
        <v>5</v>
      </c>
      <c r="M30" s="2">
        <v>300</v>
      </c>
      <c r="N30" s="2">
        <v>768</v>
      </c>
      <c r="O30" s="3">
        <v>3072</v>
      </c>
      <c r="P30" s="3">
        <v>2359296</v>
      </c>
      <c r="Q30" s="2">
        <v>0</v>
      </c>
      <c r="R30" s="2">
        <v>9.7149000000000001</v>
      </c>
      <c r="S30" s="2">
        <v>40.43</v>
      </c>
      <c r="T30" s="2">
        <v>32.633000000000003</v>
      </c>
      <c r="U30" s="2">
        <v>7.7969999999999997</v>
      </c>
      <c r="V30" s="2">
        <v>80.709999999999994</v>
      </c>
      <c r="W30" s="2" t="s">
        <v>570</v>
      </c>
    </row>
    <row r="31" spans="1:23" x14ac:dyDescent="0.35">
      <c r="B31" s="2" t="s">
        <v>325</v>
      </c>
      <c r="C31" s="2">
        <v>385.95400000000001</v>
      </c>
      <c r="D31" s="2">
        <v>98.361999999999995</v>
      </c>
      <c r="E31" s="2">
        <v>163.589</v>
      </c>
      <c r="F31" s="2">
        <v>41.691000000000003</v>
      </c>
      <c r="G31" s="2">
        <v>484.31599999999997</v>
      </c>
      <c r="H31" s="2">
        <v>205.28</v>
      </c>
      <c r="I31" s="2" t="s">
        <v>75</v>
      </c>
      <c r="J31" s="2" t="s">
        <v>74</v>
      </c>
      <c r="K31" s="2">
        <v>5</v>
      </c>
      <c r="L31" s="2">
        <v>6</v>
      </c>
      <c r="M31" s="2">
        <v>250</v>
      </c>
      <c r="N31" s="2">
        <v>768</v>
      </c>
      <c r="O31" s="3">
        <v>3072</v>
      </c>
      <c r="P31" s="3">
        <v>2359296</v>
      </c>
      <c r="Q31" s="2">
        <v>256</v>
      </c>
      <c r="R31" s="2">
        <v>11.4574</v>
      </c>
      <c r="S31" s="2">
        <v>42.271000000000001</v>
      </c>
      <c r="T31" s="2">
        <v>33.686</v>
      </c>
      <c r="U31" s="2">
        <v>8.5850000000000009</v>
      </c>
      <c r="V31" s="2">
        <v>79.69</v>
      </c>
      <c r="W31" s="2" t="s">
        <v>570</v>
      </c>
    </row>
    <row r="32" spans="1:23" x14ac:dyDescent="0.35">
      <c r="A32" s="2" t="s">
        <v>77</v>
      </c>
      <c r="B32" s="2" t="s">
        <v>342</v>
      </c>
      <c r="C32" s="2">
        <v>1970.5920000000001</v>
      </c>
      <c r="D32" s="2">
        <v>164.51499999999999</v>
      </c>
      <c r="E32" s="2">
        <v>469.82600000000002</v>
      </c>
      <c r="F32" s="2">
        <v>39.223999999999997</v>
      </c>
      <c r="G32" s="2">
        <v>2135.1080000000002</v>
      </c>
      <c r="H32" s="2">
        <v>509.04899999999998</v>
      </c>
      <c r="I32" s="2" t="s">
        <v>77</v>
      </c>
      <c r="J32" s="2" t="s">
        <v>76</v>
      </c>
      <c r="K32" s="2">
        <v>6</v>
      </c>
      <c r="L32" s="2">
        <v>1</v>
      </c>
      <c r="M32" s="2">
        <v>400</v>
      </c>
      <c r="N32" s="3">
        <v>4096</v>
      </c>
      <c r="O32" s="3">
        <v>1024</v>
      </c>
      <c r="P32" s="3">
        <v>4194304</v>
      </c>
      <c r="Q32" s="2">
        <v>0</v>
      </c>
      <c r="R32" s="2">
        <v>78.117500000000007</v>
      </c>
      <c r="S32" s="2">
        <v>27.332000000000001</v>
      </c>
      <c r="T32" s="2">
        <v>25.225999999999999</v>
      </c>
      <c r="U32" s="2">
        <v>2.1059999999999999</v>
      </c>
      <c r="V32" s="2">
        <v>92.29</v>
      </c>
      <c r="W32" s="2" t="s">
        <v>570</v>
      </c>
    </row>
    <row r="33" spans="1:23" x14ac:dyDescent="0.35">
      <c r="B33" s="2" t="s">
        <v>337</v>
      </c>
      <c r="C33" s="2">
        <v>1120.1199999999999</v>
      </c>
      <c r="D33" s="2">
        <v>132.11799999999999</v>
      </c>
      <c r="E33" s="2">
        <v>267.05700000000002</v>
      </c>
      <c r="F33" s="2">
        <v>31.498999999999999</v>
      </c>
      <c r="G33" s="2">
        <v>1252.2380000000001</v>
      </c>
      <c r="H33" s="2">
        <v>298.55700000000002</v>
      </c>
      <c r="I33" s="2" t="s">
        <v>77</v>
      </c>
      <c r="J33" s="2" t="s">
        <v>76</v>
      </c>
      <c r="K33" s="2">
        <v>6</v>
      </c>
      <c r="L33" s="2">
        <v>2</v>
      </c>
      <c r="M33" s="2">
        <v>375</v>
      </c>
      <c r="N33" s="3">
        <v>4096</v>
      </c>
      <c r="O33" s="3">
        <v>1024</v>
      </c>
      <c r="P33" s="3">
        <v>4194304</v>
      </c>
      <c r="Q33" s="2">
        <v>0</v>
      </c>
      <c r="R33" s="2">
        <v>42.035499999999999</v>
      </c>
      <c r="S33" s="2">
        <v>29.79</v>
      </c>
      <c r="T33" s="2">
        <v>26.646999999999998</v>
      </c>
      <c r="U33" s="2">
        <v>3.1429999999999998</v>
      </c>
      <c r="V33" s="2">
        <v>89.45</v>
      </c>
      <c r="W33" s="2" t="s">
        <v>570</v>
      </c>
    </row>
    <row r="34" spans="1:23" x14ac:dyDescent="0.35">
      <c r="B34" s="2" t="s">
        <v>332</v>
      </c>
      <c r="C34" s="2">
        <v>833.51700000000005</v>
      </c>
      <c r="D34" s="2">
        <v>143.48099999999999</v>
      </c>
      <c r="E34" s="2">
        <v>198.726</v>
      </c>
      <c r="F34" s="2">
        <v>34.209000000000003</v>
      </c>
      <c r="G34" s="2">
        <v>976.99800000000005</v>
      </c>
      <c r="H34" s="2">
        <v>232.934</v>
      </c>
      <c r="I34" s="2" t="s">
        <v>77</v>
      </c>
      <c r="J34" s="2" t="s">
        <v>76</v>
      </c>
      <c r="K34" s="2">
        <v>6</v>
      </c>
      <c r="L34" s="2">
        <v>3</v>
      </c>
      <c r="M34" s="2">
        <v>350</v>
      </c>
      <c r="N34" s="3">
        <v>4096</v>
      </c>
      <c r="O34" s="3">
        <v>1024</v>
      </c>
      <c r="P34" s="3">
        <v>4194304</v>
      </c>
      <c r="Q34" s="2">
        <v>128</v>
      </c>
      <c r="R34" s="2">
        <v>30.308599999999998</v>
      </c>
      <c r="S34" s="2">
        <v>32.234999999999999</v>
      </c>
      <c r="T34" s="2">
        <v>27.501000000000001</v>
      </c>
      <c r="U34" s="2">
        <v>4.734</v>
      </c>
      <c r="V34" s="2">
        <v>85.31</v>
      </c>
      <c r="W34" s="2" t="s">
        <v>570</v>
      </c>
    </row>
    <row r="35" spans="1:23" x14ac:dyDescent="0.35">
      <c r="B35" s="2" t="s">
        <v>314</v>
      </c>
      <c r="C35" s="2">
        <v>741.899</v>
      </c>
      <c r="D35" s="2">
        <v>129.79599999999999</v>
      </c>
      <c r="E35" s="2">
        <v>176.88300000000001</v>
      </c>
      <c r="F35" s="2">
        <v>30.946000000000002</v>
      </c>
      <c r="G35" s="2">
        <v>871.69500000000005</v>
      </c>
      <c r="H35" s="2">
        <v>207.828</v>
      </c>
      <c r="I35" s="2" t="s">
        <v>77</v>
      </c>
      <c r="J35" s="2" t="s">
        <v>76</v>
      </c>
      <c r="K35" s="2">
        <v>6</v>
      </c>
      <c r="L35" s="2">
        <v>4</v>
      </c>
      <c r="M35" s="2">
        <v>325</v>
      </c>
      <c r="N35" s="3">
        <v>4096</v>
      </c>
      <c r="O35" s="3">
        <v>1024</v>
      </c>
      <c r="P35" s="3">
        <v>4194304</v>
      </c>
      <c r="Q35" s="2">
        <v>0</v>
      </c>
      <c r="R35" s="2">
        <v>24.0229</v>
      </c>
      <c r="S35" s="2">
        <v>36.286000000000001</v>
      </c>
      <c r="T35" s="2">
        <v>30.882999999999999</v>
      </c>
      <c r="U35" s="2">
        <v>5.4029999999999996</v>
      </c>
      <c r="V35" s="2">
        <v>85.11</v>
      </c>
      <c r="W35" s="2" t="s">
        <v>570</v>
      </c>
    </row>
    <row r="36" spans="1:23" x14ac:dyDescent="0.35">
      <c r="B36" s="2" t="s">
        <v>329</v>
      </c>
      <c r="C36" s="2">
        <v>581.85900000000004</v>
      </c>
      <c r="D36" s="2">
        <v>139.024</v>
      </c>
      <c r="E36" s="2">
        <v>138.726</v>
      </c>
      <c r="F36" s="2">
        <v>33.146000000000001</v>
      </c>
      <c r="G36" s="2">
        <v>720.88300000000004</v>
      </c>
      <c r="H36" s="2">
        <v>171.87200000000001</v>
      </c>
      <c r="I36" s="2" t="s">
        <v>77</v>
      </c>
      <c r="J36" s="2" t="s">
        <v>76</v>
      </c>
      <c r="K36" s="2">
        <v>6</v>
      </c>
      <c r="L36" s="2">
        <v>5</v>
      </c>
      <c r="M36" s="2">
        <v>300</v>
      </c>
      <c r="N36" s="3">
        <v>4096</v>
      </c>
      <c r="O36" s="3">
        <v>1024</v>
      </c>
      <c r="P36" s="3">
        <v>4194304</v>
      </c>
      <c r="Q36" s="2">
        <v>128</v>
      </c>
      <c r="R36" s="2">
        <v>17.830400000000001</v>
      </c>
      <c r="S36" s="2">
        <v>40.43</v>
      </c>
      <c r="T36" s="2">
        <v>32.633000000000003</v>
      </c>
      <c r="U36" s="2">
        <v>7.7969999999999997</v>
      </c>
      <c r="V36" s="2">
        <v>80.709999999999994</v>
      </c>
      <c r="W36" s="2" t="s">
        <v>570</v>
      </c>
    </row>
    <row r="37" spans="1:23" x14ac:dyDescent="0.35">
      <c r="B37" s="2" t="s">
        <v>325</v>
      </c>
      <c r="C37" s="2">
        <v>520.34400000000005</v>
      </c>
      <c r="D37" s="2">
        <v>132.61199999999999</v>
      </c>
      <c r="E37" s="2">
        <v>124.06</v>
      </c>
      <c r="F37" s="2">
        <v>31.617000000000001</v>
      </c>
      <c r="G37" s="2">
        <v>652.95600000000002</v>
      </c>
      <c r="H37" s="2">
        <v>155.67699999999999</v>
      </c>
      <c r="I37" s="2" t="s">
        <v>77</v>
      </c>
      <c r="J37" s="2" t="s">
        <v>76</v>
      </c>
      <c r="K37" s="2">
        <v>6</v>
      </c>
      <c r="L37" s="2">
        <v>6</v>
      </c>
      <c r="M37" s="2">
        <v>250</v>
      </c>
      <c r="N37" s="3">
        <v>4096</v>
      </c>
      <c r="O37" s="3">
        <v>1024</v>
      </c>
      <c r="P37" s="3">
        <v>4194304</v>
      </c>
      <c r="Q37" s="2">
        <v>0</v>
      </c>
      <c r="R37" s="2">
        <v>15.446899999999999</v>
      </c>
      <c r="S37" s="2">
        <v>42.271000000000001</v>
      </c>
      <c r="T37" s="2">
        <v>33.686</v>
      </c>
      <c r="U37" s="2">
        <v>8.5850000000000009</v>
      </c>
      <c r="V37" s="2">
        <v>79.69</v>
      </c>
      <c r="W37" s="2" t="s">
        <v>570</v>
      </c>
    </row>
    <row r="38" spans="1:23" x14ac:dyDescent="0.35">
      <c r="A38" s="2" t="s">
        <v>79</v>
      </c>
      <c r="B38" s="2" t="s">
        <v>342</v>
      </c>
      <c r="C38" s="2">
        <v>1950.2349999999999</v>
      </c>
      <c r="D38" s="2">
        <v>162.816</v>
      </c>
      <c r="E38" s="2">
        <v>464.97199999999998</v>
      </c>
      <c r="F38" s="2">
        <v>38.817999999999998</v>
      </c>
      <c r="G38" s="2">
        <v>2113.0509999999999</v>
      </c>
      <c r="H38" s="2">
        <v>503.791</v>
      </c>
      <c r="I38" s="2" t="s">
        <v>79</v>
      </c>
      <c r="J38" s="2" t="s">
        <v>78</v>
      </c>
      <c r="K38" s="2">
        <v>7</v>
      </c>
      <c r="L38" s="2">
        <v>1</v>
      </c>
      <c r="M38" s="2">
        <v>400</v>
      </c>
      <c r="N38" s="3">
        <v>1024</v>
      </c>
      <c r="O38" s="3">
        <v>4096</v>
      </c>
      <c r="P38" s="3">
        <v>4194304</v>
      </c>
      <c r="Q38" s="2">
        <v>0</v>
      </c>
      <c r="R38" s="2">
        <v>77.310500000000005</v>
      </c>
      <c r="S38" s="2">
        <v>27.332000000000001</v>
      </c>
      <c r="T38" s="2">
        <v>25.225999999999999</v>
      </c>
      <c r="U38" s="2">
        <v>2.1059999999999999</v>
      </c>
      <c r="V38" s="2">
        <v>92.29</v>
      </c>
      <c r="W38" s="2" t="s">
        <v>570</v>
      </c>
    </row>
    <row r="39" spans="1:23" x14ac:dyDescent="0.35">
      <c r="B39" s="2" t="s">
        <v>337</v>
      </c>
      <c r="C39" s="2">
        <v>1101.9570000000001</v>
      </c>
      <c r="D39" s="2">
        <v>129.97499999999999</v>
      </c>
      <c r="E39" s="2">
        <v>262.72699999999998</v>
      </c>
      <c r="F39" s="2">
        <v>30.989000000000001</v>
      </c>
      <c r="G39" s="2">
        <v>1231.933</v>
      </c>
      <c r="H39" s="2">
        <v>293.71600000000001</v>
      </c>
      <c r="I39" s="2" t="s">
        <v>79</v>
      </c>
      <c r="J39" s="2" t="s">
        <v>78</v>
      </c>
      <c r="K39" s="2">
        <v>7</v>
      </c>
      <c r="L39" s="2">
        <v>2</v>
      </c>
      <c r="M39" s="2">
        <v>375</v>
      </c>
      <c r="N39" s="3">
        <v>1024</v>
      </c>
      <c r="O39" s="3">
        <v>4096</v>
      </c>
      <c r="P39" s="3">
        <v>4194304</v>
      </c>
      <c r="Q39" s="2">
        <v>0</v>
      </c>
      <c r="R39" s="2">
        <v>41.353900000000003</v>
      </c>
      <c r="S39" s="2">
        <v>29.79</v>
      </c>
      <c r="T39" s="2">
        <v>26.646999999999998</v>
      </c>
      <c r="U39" s="2">
        <v>3.1429999999999998</v>
      </c>
      <c r="V39" s="2">
        <v>89.45</v>
      </c>
      <c r="W39" s="2" t="s">
        <v>570</v>
      </c>
    </row>
    <row r="40" spans="1:23" x14ac:dyDescent="0.35">
      <c r="B40" s="2" t="s">
        <v>332</v>
      </c>
      <c r="C40" s="2">
        <v>914.86800000000005</v>
      </c>
      <c r="D40" s="2">
        <v>157.48500000000001</v>
      </c>
      <c r="E40" s="2">
        <v>218.12100000000001</v>
      </c>
      <c r="F40" s="2">
        <v>37.546999999999997</v>
      </c>
      <c r="G40" s="2">
        <v>1072.3520000000001</v>
      </c>
      <c r="H40" s="2">
        <v>255.66900000000001</v>
      </c>
      <c r="I40" s="2" t="s">
        <v>79</v>
      </c>
      <c r="J40" s="2" t="s">
        <v>78</v>
      </c>
      <c r="K40" s="2">
        <v>7</v>
      </c>
      <c r="L40" s="2">
        <v>3</v>
      </c>
      <c r="M40" s="2">
        <v>350</v>
      </c>
      <c r="N40" s="3">
        <v>1024</v>
      </c>
      <c r="O40" s="3">
        <v>4096</v>
      </c>
      <c r="P40" s="3">
        <v>4194304</v>
      </c>
      <c r="Q40" s="2">
        <v>128</v>
      </c>
      <c r="R40" s="2">
        <v>33.2667</v>
      </c>
      <c r="S40" s="2">
        <v>32.234999999999999</v>
      </c>
      <c r="T40" s="2">
        <v>27.501000000000001</v>
      </c>
      <c r="U40" s="2">
        <v>4.734</v>
      </c>
      <c r="V40" s="2">
        <v>85.31</v>
      </c>
      <c r="W40" s="2" t="s">
        <v>570</v>
      </c>
    </row>
    <row r="41" spans="1:23" x14ac:dyDescent="0.35">
      <c r="B41" s="2" t="s">
        <v>314</v>
      </c>
      <c r="C41" s="2">
        <v>736.33699999999999</v>
      </c>
      <c r="D41" s="2">
        <v>128.82300000000001</v>
      </c>
      <c r="E41" s="2">
        <v>175.55600000000001</v>
      </c>
      <c r="F41" s="2">
        <v>30.713999999999999</v>
      </c>
      <c r="G41" s="2">
        <v>865.16</v>
      </c>
      <c r="H41" s="2">
        <v>206.27</v>
      </c>
      <c r="I41" s="2" t="s">
        <v>79</v>
      </c>
      <c r="J41" s="2" t="s">
        <v>78</v>
      </c>
      <c r="K41" s="2">
        <v>7</v>
      </c>
      <c r="L41" s="2">
        <v>4</v>
      </c>
      <c r="M41" s="2">
        <v>325</v>
      </c>
      <c r="N41" s="3">
        <v>1024</v>
      </c>
      <c r="O41" s="3">
        <v>4096</v>
      </c>
      <c r="P41" s="3">
        <v>4194304</v>
      </c>
      <c r="Q41" s="2">
        <v>0</v>
      </c>
      <c r="R41" s="2">
        <v>23.8428</v>
      </c>
      <c r="S41" s="2">
        <v>36.286000000000001</v>
      </c>
      <c r="T41" s="2">
        <v>30.882999999999999</v>
      </c>
      <c r="U41" s="2">
        <v>5.4029999999999996</v>
      </c>
      <c r="V41" s="2">
        <v>85.11</v>
      </c>
      <c r="W41" s="2" t="s">
        <v>570</v>
      </c>
    </row>
    <row r="42" spans="1:23" x14ac:dyDescent="0.35">
      <c r="B42" s="2" t="s">
        <v>329</v>
      </c>
      <c r="C42" s="2">
        <v>625.14099999999996</v>
      </c>
      <c r="D42" s="2">
        <v>149.36500000000001</v>
      </c>
      <c r="E42" s="2">
        <v>149.04499999999999</v>
      </c>
      <c r="F42" s="2">
        <v>35.610999999999997</v>
      </c>
      <c r="G42" s="2">
        <v>774.505</v>
      </c>
      <c r="H42" s="2">
        <v>184.65600000000001</v>
      </c>
      <c r="I42" s="2" t="s">
        <v>79</v>
      </c>
      <c r="J42" s="2" t="s">
        <v>78</v>
      </c>
      <c r="K42" s="2">
        <v>7</v>
      </c>
      <c r="L42" s="2">
        <v>5</v>
      </c>
      <c r="M42" s="2">
        <v>300</v>
      </c>
      <c r="N42" s="3">
        <v>1024</v>
      </c>
      <c r="O42" s="3">
        <v>4096</v>
      </c>
      <c r="P42" s="3">
        <v>4194304</v>
      </c>
      <c r="Q42" s="2">
        <v>128</v>
      </c>
      <c r="R42" s="2">
        <v>19.156700000000001</v>
      </c>
      <c r="S42" s="2">
        <v>40.43</v>
      </c>
      <c r="T42" s="2">
        <v>32.633000000000003</v>
      </c>
      <c r="U42" s="2">
        <v>7.7969999999999997</v>
      </c>
      <c r="V42" s="2">
        <v>80.709999999999994</v>
      </c>
      <c r="W42" s="2" t="s">
        <v>570</v>
      </c>
    </row>
    <row r="43" spans="1:23" x14ac:dyDescent="0.35">
      <c r="B43" s="2" t="s">
        <v>325</v>
      </c>
      <c r="C43" s="2">
        <v>517.26900000000001</v>
      </c>
      <c r="D43" s="2">
        <v>131.828</v>
      </c>
      <c r="E43" s="2">
        <v>123.32599999999999</v>
      </c>
      <c r="F43" s="2">
        <v>31.43</v>
      </c>
      <c r="G43" s="2">
        <v>649.09699999999998</v>
      </c>
      <c r="H43" s="2">
        <v>154.75700000000001</v>
      </c>
      <c r="I43" s="2" t="s">
        <v>79</v>
      </c>
      <c r="J43" s="2" t="s">
        <v>78</v>
      </c>
      <c r="K43" s="2">
        <v>7</v>
      </c>
      <c r="L43" s="2">
        <v>6</v>
      </c>
      <c r="M43" s="2">
        <v>250</v>
      </c>
      <c r="N43" s="3">
        <v>1024</v>
      </c>
      <c r="O43" s="3">
        <v>4096</v>
      </c>
      <c r="P43" s="3">
        <v>4194304</v>
      </c>
      <c r="Q43" s="2">
        <v>0</v>
      </c>
      <c r="R43" s="2">
        <v>15.355600000000001</v>
      </c>
      <c r="S43" s="2">
        <v>42.271000000000001</v>
      </c>
      <c r="T43" s="2">
        <v>33.686</v>
      </c>
      <c r="U43" s="2">
        <v>8.5850000000000009</v>
      </c>
      <c r="V43" s="2">
        <v>79.69</v>
      </c>
      <c r="W43" s="2" t="s">
        <v>570</v>
      </c>
    </row>
    <row r="44" spans="1:23" x14ac:dyDescent="0.35">
      <c r="A44" s="2" t="s">
        <v>81</v>
      </c>
      <c r="B44" s="2" t="s">
        <v>342</v>
      </c>
      <c r="C44" s="2">
        <v>1961.6420000000001</v>
      </c>
      <c r="D44" s="2">
        <v>163.768</v>
      </c>
      <c r="E44" s="2">
        <v>467.69200000000001</v>
      </c>
      <c r="F44" s="2">
        <v>39.045000000000002</v>
      </c>
      <c r="G44" s="2">
        <v>2125.41</v>
      </c>
      <c r="H44" s="2">
        <v>506.73700000000002</v>
      </c>
      <c r="I44" s="2" t="s">
        <v>81</v>
      </c>
      <c r="J44" s="2" t="s">
        <v>80</v>
      </c>
      <c r="K44" s="2">
        <v>8</v>
      </c>
      <c r="L44" s="2">
        <v>1</v>
      </c>
      <c r="M44" s="2">
        <v>400</v>
      </c>
      <c r="N44" s="3">
        <v>2048</v>
      </c>
      <c r="O44" s="3">
        <v>2048</v>
      </c>
      <c r="P44" s="3">
        <v>4194304</v>
      </c>
      <c r="Q44" s="2">
        <v>0</v>
      </c>
      <c r="R44" s="2">
        <v>77.762699999999995</v>
      </c>
      <c r="S44" s="2">
        <v>27.332000000000001</v>
      </c>
      <c r="T44" s="2">
        <v>25.225999999999999</v>
      </c>
      <c r="U44" s="2">
        <v>2.1059999999999999</v>
      </c>
      <c r="V44" s="2">
        <v>92.29</v>
      </c>
      <c r="W44" s="2" t="s">
        <v>570</v>
      </c>
    </row>
    <row r="45" spans="1:23" x14ac:dyDescent="0.35">
      <c r="B45" s="2" t="s">
        <v>337</v>
      </c>
      <c r="C45" s="2">
        <v>1109.8689999999999</v>
      </c>
      <c r="D45" s="2">
        <v>130.90799999999999</v>
      </c>
      <c r="E45" s="2">
        <v>264.613</v>
      </c>
      <c r="F45" s="2">
        <v>31.210999999999999</v>
      </c>
      <c r="G45" s="2">
        <v>1240.777</v>
      </c>
      <c r="H45" s="2">
        <v>295.82400000000001</v>
      </c>
      <c r="I45" s="2" t="s">
        <v>81</v>
      </c>
      <c r="J45" s="2" t="s">
        <v>80</v>
      </c>
      <c r="K45" s="2">
        <v>8</v>
      </c>
      <c r="L45" s="2">
        <v>2</v>
      </c>
      <c r="M45" s="2">
        <v>375</v>
      </c>
      <c r="N45" s="3">
        <v>2048</v>
      </c>
      <c r="O45" s="3">
        <v>2048</v>
      </c>
      <c r="P45" s="3">
        <v>4194304</v>
      </c>
      <c r="Q45" s="2">
        <v>0</v>
      </c>
      <c r="R45" s="2">
        <v>41.650799999999997</v>
      </c>
      <c r="S45" s="2">
        <v>29.79</v>
      </c>
      <c r="T45" s="2">
        <v>26.646999999999998</v>
      </c>
      <c r="U45" s="2">
        <v>3.1429999999999998</v>
      </c>
      <c r="V45" s="2">
        <v>89.45</v>
      </c>
      <c r="W45" s="2" t="s">
        <v>570</v>
      </c>
    </row>
    <row r="46" spans="1:23" x14ac:dyDescent="0.35">
      <c r="B46" s="2" t="s">
        <v>332</v>
      </c>
      <c r="C46" s="2">
        <v>838.83299999999997</v>
      </c>
      <c r="D46" s="2">
        <v>144.39599999999999</v>
      </c>
      <c r="E46" s="2">
        <v>199.99299999999999</v>
      </c>
      <c r="F46" s="2">
        <v>34.427</v>
      </c>
      <c r="G46" s="2">
        <v>983.22900000000004</v>
      </c>
      <c r="H46" s="2">
        <v>234.42</v>
      </c>
      <c r="I46" s="2" t="s">
        <v>81</v>
      </c>
      <c r="J46" s="2" t="s">
        <v>80</v>
      </c>
      <c r="K46" s="2">
        <v>8</v>
      </c>
      <c r="L46" s="2">
        <v>3</v>
      </c>
      <c r="M46" s="2">
        <v>350</v>
      </c>
      <c r="N46" s="3">
        <v>2048</v>
      </c>
      <c r="O46" s="3">
        <v>2048</v>
      </c>
      <c r="P46" s="3">
        <v>4194304</v>
      </c>
      <c r="Q46" s="2">
        <v>64</v>
      </c>
      <c r="R46" s="2">
        <v>30.501899999999999</v>
      </c>
      <c r="S46" s="2">
        <v>32.234999999999999</v>
      </c>
      <c r="T46" s="2">
        <v>27.501000000000001</v>
      </c>
      <c r="U46" s="2">
        <v>4.734</v>
      </c>
      <c r="V46" s="2">
        <v>85.31</v>
      </c>
      <c r="W46" s="2" t="s">
        <v>570</v>
      </c>
    </row>
    <row r="47" spans="1:23" x14ac:dyDescent="0.35">
      <c r="B47" s="2" t="s">
        <v>314</v>
      </c>
      <c r="C47" s="2">
        <v>731.74199999999996</v>
      </c>
      <c r="D47" s="2">
        <v>128.01900000000001</v>
      </c>
      <c r="E47" s="2">
        <v>174.46100000000001</v>
      </c>
      <c r="F47" s="2">
        <v>30.521999999999998</v>
      </c>
      <c r="G47" s="2">
        <v>859.76</v>
      </c>
      <c r="H47" s="2">
        <v>204.983</v>
      </c>
      <c r="I47" s="2" t="s">
        <v>81</v>
      </c>
      <c r="J47" s="2" t="s">
        <v>80</v>
      </c>
      <c r="K47" s="2">
        <v>8</v>
      </c>
      <c r="L47" s="2">
        <v>4</v>
      </c>
      <c r="M47" s="2">
        <v>325</v>
      </c>
      <c r="N47" s="3">
        <v>2048</v>
      </c>
      <c r="O47" s="3">
        <v>2048</v>
      </c>
      <c r="P47" s="3">
        <v>4194304</v>
      </c>
      <c r="Q47" s="2">
        <v>0</v>
      </c>
      <c r="R47" s="2">
        <v>23.693999999999999</v>
      </c>
      <c r="S47" s="2">
        <v>36.286000000000001</v>
      </c>
      <c r="T47" s="2">
        <v>30.882999999999999</v>
      </c>
      <c r="U47" s="2">
        <v>5.4029999999999996</v>
      </c>
      <c r="V47" s="2">
        <v>85.11</v>
      </c>
      <c r="W47" s="2" t="s">
        <v>570</v>
      </c>
    </row>
    <row r="48" spans="1:23" x14ac:dyDescent="0.35">
      <c r="B48" s="2" t="s">
        <v>329</v>
      </c>
      <c r="C48" s="2">
        <v>634.66300000000001</v>
      </c>
      <c r="D48" s="2">
        <v>151.63999999999999</v>
      </c>
      <c r="E48" s="2">
        <v>151.315</v>
      </c>
      <c r="F48" s="2">
        <v>36.154000000000003</v>
      </c>
      <c r="G48" s="2">
        <v>786.303</v>
      </c>
      <c r="H48" s="2">
        <v>187.46899999999999</v>
      </c>
      <c r="I48" s="2" t="s">
        <v>81</v>
      </c>
      <c r="J48" s="2" t="s">
        <v>80</v>
      </c>
      <c r="K48" s="2">
        <v>8</v>
      </c>
      <c r="L48" s="2">
        <v>5</v>
      </c>
      <c r="M48" s="2">
        <v>300</v>
      </c>
      <c r="N48" s="3">
        <v>2048</v>
      </c>
      <c r="O48" s="3">
        <v>2048</v>
      </c>
      <c r="P48" s="3">
        <v>4194304</v>
      </c>
      <c r="Q48" s="2">
        <v>256</v>
      </c>
      <c r="R48" s="2">
        <v>19.448499999999999</v>
      </c>
      <c r="S48" s="2">
        <v>40.43</v>
      </c>
      <c r="T48" s="2">
        <v>32.633000000000003</v>
      </c>
      <c r="U48" s="2">
        <v>7.7969999999999997</v>
      </c>
      <c r="V48" s="2">
        <v>80.709999999999994</v>
      </c>
      <c r="W48" s="2" t="s">
        <v>570</v>
      </c>
    </row>
    <row r="49" spans="1:23" x14ac:dyDescent="0.35">
      <c r="B49" s="2" t="s">
        <v>325</v>
      </c>
      <c r="C49" s="2">
        <v>516.81700000000001</v>
      </c>
      <c r="D49" s="2">
        <v>131.71299999999999</v>
      </c>
      <c r="E49" s="2">
        <v>123.21899999999999</v>
      </c>
      <c r="F49" s="2">
        <v>31.402999999999999</v>
      </c>
      <c r="G49" s="2">
        <v>648.53</v>
      </c>
      <c r="H49" s="2">
        <v>154.62200000000001</v>
      </c>
      <c r="I49" s="2" t="s">
        <v>81</v>
      </c>
      <c r="J49" s="2" t="s">
        <v>80</v>
      </c>
      <c r="K49" s="2">
        <v>8</v>
      </c>
      <c r="L49" s="2">
        <v>6</v>
      </c>
      <c r="M49" s="2">
        <v>250</v>
      </c>
      <c r="N49" s="3">
        <v>2048</v>
      </c>
      <c r="O49" s="3">
        <v>2048</v>
      </c>
      <c r="P49" s="3">
        <v>4194304</v>
      </c>
      <c r="Q49" s="2">
        <v>0</v>
      </c>
      <c r="R49" s="2">
        <v>15.3422</v>
      </c>
      <c r="S49" s="2">
        <v>42.271000000000001</v>
      </c>
      <c r="T49" s="2">
        <v>33.686</v>
      </c>
      <c r="U49" s="2">
        <v>8.5850000000000009</v>
      </c>
      <c r="V49" s="2">
        <v>79.69</v>
      </c>
      <c r="W49" s="2" t="s">
        <v>570</v>
      </c>
    </row>
    <row r="50" spans="1:23" x14ac:dyDescent="0.35">
      <c r="A50" s="2" t="s">
        <v>83</v>
      </c>
      <c r="B50" s="2" t="s">
        <v>342</v>
      </c>
      <c r="C50" s="2">
        <v>7835.4229999999998</v>
      </c>
      <c r="D50" s="2">
        <v>654.14300000000003</v>
      </c>
      <c r="E50" s="2">
        <v>467.02800000000002</v>
      </c>
      <c r="F50" s="2">
        <v>38.99</v>
      </c>
      <c r="G50" s="2">
        <v>8489.5650000000005</v>
      </c>
      <c r="H50" s="2">
        <v>506.01799999999997</v>
      </c>
      <c r="I50" s="2" t="s">
        <v>83</v>
      </c>
      <c r="J50" s="2" t="s">
        <v>82</v>
      </c>
      <c r="K50" s="2">
        <v>9</v>
      </c>
      <c r="L50" s="2">
        <v>1</v>
      </c>
      <c r="M50" s="2">
        <v>400</v>
      </c>
      <c r="N50" s="3">
        <v>4096</v>
      </c>
      <c r="O50" s="3">
        <v>4096</v>
      </c>
      <c r="P50" s="3">
        <v>16777216</v>
      </c>
      <c r="Q50" s="2">
        <v>0</v>
      </c>
      <c r="R50" s="2">
        <v>310.60899999999998</v>
      </c>
      <c r="S50" s="2">
        <v>27.332000000000001</v>
      </c>
      <c r="T50" s="2">
        <v>25.225999999999999</v>
      </c>
      <c r="U50" s="2">
        <v>2.1059999999999999</v>
      </c>
      <c r="V50" s="2">
        <v>92.29</v>
      </c>
      <c r="W50" s="2" t="s">
        <v>570</v>
      </c>
    </row>
    <row r="51" spans="1:23" x14ac:dyDescent="0.35">
      <c r="B51" s="2" t="s">
        <v>337</v>
      </c>
      <c r="C51" s="2">
        <v>4466.549</v>
      </c>
      <c r="D51" s="2">
        <v>526.827</v>
      </c>
      <c r="E51" s="2">
        <v>266.22699999999998</v>
      </c>
      <c r="F51" s="2">
        <v>31.401</v>
      </c>
      <c r="G51" s="2">
        <v>4993.3760000000002</v>
      </c>
      <c r="H51" s="2">
        <v>297.62799999999999</v>
      </c>
      <c r="I51" s="2" t="s">
        <v>83</v>
      </c>
      <c r="J51" s="2" t="s">
        <v>82</v>
      </c>
      <c r="K51" s="2">
        <v>9</v>
      </c>
      <c r="L51" s="2">
        <v>2</v>
      </c>
      <c r="M51" s="2">
        <v>375</v>
      </c>
      <c r="N51" s="3">
        <v>4096</v>
      </c>
      <c r="O51" s="3">
        <v>4096</v>
      </c>
      <c r="P51" s="3">
        <v>16777216</v>
      </c>
      <c r="Q51" s="2">
        <v>0</v>
      </c>
      <c r="R51" s="2">
        <v>167.61920000000001</v>
      </c>
      <c r="S51" s="2">
        <v>29.79</v>
      </c>
      <c r="T51" s="2">
        <v>26.646999999999998</v>
      </c>
      <c r="U51" s="2">
        <v>3.1429999999999998</v>
      </c>
      <c r="V51" s="2">
        <v>89.45</v>
      </c>
      <c r="W51" s="2" t="s">
        <v>570</v>
      </c>
    </row>
    <row r="52" spans="1:23" x14ac:dyDescent="0.35">
      <c r="B52" s="2" t="s">
        <v>332</v>
      </c>
      <c r="C52" s="2">
        <v>3322.1350000000002</v>
      </c>
      <c r="D52" s="2">
        <v>571.87</v>
      </c>
      <c r="E52" s="2">
        <v>198.01499999999999</v>
      </c>
      <c r="F52" s="2">
        <v>34.085999999999999</v>
      </c>
      <c r="G52" s="2">
        <v>3894.0039999999999</v>
      </c>
      <c r="H52" s="2">
        <v>232.101</v>
      </c>
      <c r="I52" s="2" t="s">
        <v>83</v>
      </c>
      <c r="J52" s="2" t="s">
        <v>82</v>
      </c>
      <c r="K52" s="2">
        <v>9</v>
      </c>
      <c r="L52" s="2">
        <v>3</v>
      </c>
      <c r="M52" s="2">
        <v>350</v>
      </c>
      <c r="N52" s="3">
        <v>4096</v>
      </c>
      <c r="O52" s="3">
        <v>4096</v>
      </c>
      <c r="P52" s="3">
        <v>16777216</v>
      </c>
      <c r="Q52" s="2">
        <v>128</v>
      </c>
      <c r="R52" s="2">
        <v>120.8005</v>
      </c>
      <c r="S52" s="2">
        <v>32.234999999999999</v>
      </c>
      <c r="T52" s="2">
        <v>27.501000000000001</v>
      </c>
      <c r="U52" s="2">
        <v>4.734</v>
      </c>
      <c r="V52" s="2">
        <v>85.31</v>
      </c>
      <c r="W52" s="2" t="s">
        <v>570</v>
      </c>
    </row>
    <row r="53" spans="1:23" x14ac:dyDescent="0.35">
      <c r="B53" s="2" t="s">
        <v>314</v>
      </c>
      <c r="C53" s="2">
        <v>2930.0889999999999</v>
      </c>
      <c r="D53" s="2">
        <v>512.62099999999998</v>
      </c>
      <c r="E53" s="2">
        <v>174.64699999999999</v>
      </c>
      <c r="F53" s="2">
        <v>30.555</v>
      </c>
      <c r="G53" s="2">
        <v>3442.71</v>
      </c>
      <c r="H53" s="2">
        <v>205.202</v>
      </c>
      <c r="I53" s="2" t="s">
        <v>83</v>
      </c>
      <c r="J53" s="2" t="s">
        <v>82</v>
      </c>
      <c r="K53" s="2">
        <v>9</v>
      </c>
      <c r="L53" s="2">
        <v>4</v>
      </c>
      <c r="M53" s="2">
        <v>325</v>
      </c>
      <c r="N53" s="3">
        <v>4096</v>
      </c>
      <c r="O53" s="3">
        <v>4096</v>
      </c>
      <c r="P53" s="3">
        <v>16777216</v>
      </c>
      <c r="Q53" s="2">
        <v>0</v>
      </c>
      <c r="R53" s="2">
        <v>94.877099999999999</v>
      </c>
      <c r="S53" s="2">
        <v>36.286000000000001</v>
      </c>
      <c r="T53" s="2">
        <v>30.882999999999999</v>
      </c>
      <c r="U53" s="2">
        <v>5.4029999999999996</v>
      </c>
      <c r="V53" s="2">
        <v>85.11</v>
      </c>
      <c r="W53" s="2" t="s">
        <v>570</v>
      </c>
    </row>
    <row r="54" spans="1:23" x14ac:dyDescent="0.35">
      <c r="B54" s="2" t="s">
        <v>329</v>
      </c>
      <c r="C54" s="2">
        <v>2326.1880000000001</v>
      </c>
      <c r="D54" s="2">
        <v>555.79600000000005</v>
      </c>
      <c r="E54" s="2">
        <v>138.65199999999999</v>
      </c>
      <c r="F54" s="2">
        <v>33.128</v>
      </c>
      <c r="G54" s="2">
        <v>2881.9839999999999</v>
      </c>
      <c r="H54" s="2">
        <v>171.78</v>
      </c>
      <c r="I54" s="2" t="s">
        <v>83</v>
      </c>
      <c r="J54" s="2" t="s">
        <v>82</v>
      </c>
      <c r="K54" s="2">
        <v>9</v>
      </c>
      <c r="L54" s="2">
        <v>5</v>
      </c>
      <c r="M54" s="2">
        <v>300</v>
      </c>
      <c r="N54" s="3">
        <v>4096</v>
      </c>
      <c r="O54" s="3">
        <v>4096</v>
      </c>
      <c r="P54" s="3">
        <v>16777216</v>
      </c>
      <c r="Q54" s="2">
        <v>128</v>
      </c>
      <c r="R54" s="2">
        <v>71.283299999999997</v>
      </c>
      <c r="S54" s="2">
        <v>40.43</v>
      </c>
      <c r="T54" s="2">
        <v>32.633000000000003</v>
      </c>
      <c r="U54" s="2">
        <v>7.7969999999999997</v>
      </c>
      <c r="V54" s="2">
        <v>80.709999999999994</v>
      </c>
      <c r="W54" s="2" t="s">
        <v>570</v>
      </c>
    </row>
    <row r="55" spans="1:23" x14ac:dyDescent="0.35">
      <c r="B55" s="2" t="s">
        <v>325</v>
      </c>
      <c r="C55" s="2">
        <v>2075.8090000000002</v>
      </c>
      <c r="D55" s="2">
        <v>529.02700000000004</v>
      </c>
      <c r="E55" s="2">
        <v>123.72799999999999</v>
      </c>
      <c r="F55" s="2">
        <v>31.532</v>
      </c>
      <c r="G55" s="2">
        <v>2604.8359999999998</v>
      </c>
      <c r="H55" s="2">
        <v>155.26</v>
      </c>
      <c r="I55" s="2" t="s">
        <v>83</v>
      </c>
      <c r="J55" s="2" t="s">
        <v>82</v>
      </c>
      <c r="K55" s="2">
        <v>9</v>
      </c>
      <c r="L55" s="2">
        <v>6</v>
      </c>
      <c r="M55" s="2">
        <v>250</v>
      </c>
      <c r="N55" s="3">
        <v>4096</v>
      </c>
      <c r="O55" s="3">
        <v>4096</v>
      </c>
      <c r="P55" s="3">
        <v>16777216</v>
      </c>
      <c r="Q55" s="2">
        <v>0</v>
      </c>
      <c r="R55" s="2">
        <v>61.622300000000003</v>
      </c>
      <c r="S55" s="2">
        <v>42.271000000000001</v>
      </c>
      <c r="T55" s="2">
        <v>33.686</v>
      </c>
      <c r="U55" s="2">
        <v>8.5850000000000009</v>
      </c>
      <c r="V55" s="2">
        <v>79.69</v>
      </c>
      <c r="W55" s="2" t="s">
        <v>570</v>
      </c>
    </row>
    <row r="56" spans="1:23" x14ac:dyDescent="0.35">
      <c r="A56" s="2" t="s">
        <v>85</v>
      </c>
      <c r="B56" s="2" t="s">
        <v>342</v>
      </c>
      <c r="C56" s="2">
        <v>7795.0410000000002</v>
      </c>
      <c r="D56" s="2">
        <v>650.77099999999996</v>
      </c>
      <c r="E56" s="2">
        <v>464.62099999999998</v>
      </c>
      <c r="F56" s="2">
        <v>38.789000000000001</v>
      </c>
      <c r="G56" s="2">
        <v>8445.8119999999999</v>
      </c>
      <c r="H56" s="2">
        <v>503.41</v>
      </c>
      <c r="I56" s="2" t="s">
        <v>85</v>
      </c>
      <c r="J56" s="2" t="s">
        <v>84</v>
      </c>
      <c r="K56" s="2">
        <v>10</v>
      </c>
      <c r="L56" s="2">
        <v>1</v>
      </c>
      <c r="M56" s="2">
        <v>400</v>
      </c>
      <c r="N56" s="3">
        <v>8192</v>
      </c>
      <c r="O56" s="3">
        <v>2048</v>
      </c>
      <c r="P56" s="3">
        <v>16777216</v>
      </c>
      <c r="Q56" s="2">
        <v>0</v>
      </c>
      <c r="R56" s="2">
        <v>309.00819999999999</v>
      </c>
      <c r="S56" s="2">
        <v>27.332000000000001</v>
      </c>
      <c r="T56" s="2">
        <v>25.225999999999999</v>
      </c>
      <c r="U56" s="2">
        <v>2.1059999999999999</v>
      </c>
      <c r="V56" s="2">
        <v>92.29</v>
      </c>
      <c r="W56" s="2" t="s">
        <v>570</v>
      </c>
    </row>
    <row r="57" spans="1:23" x14ac:dyDescent="0.35">
      <c r="B57" s="2" t="s">
        <v>337</v>
      </c>
      <c r="C57" s="2">
        <v>4444.5249999999996</v>
      </c>
      <c r="D57" s="2">
        <v>524.22900000000004</v>
      </c>
      <c r="E57" s="2">
        <v>264.91399999999999</v>
      </c>
      <c r="F57" s="2">
        <v>31.247</v>
      </c>
      <c r="G57" s="2">
        <v>4968.7550000000001</v>
      </c>
      <c r="H57" s="2">
        <v>296.161</v>
      </c>
      <c r="I57" s="2" t="s">
        <v>85</v>
      </c>
      <c r="J57" s="2" t="s">
        <v>84</v>
      </c>
      <c r="K57" s="2">
        <v>10</v>
      </c>
      <c r="L57" s="2">
        <v>2</v>
      </c>
      <c r="M57" s="2">
        <v>375</v>
      </c>
      <c r="N57" s="3">
        <v>8192</v>
      </c>
      <c r="O57" s="3">
        <v>2048</v>
      </c>
      <c r="P57" s="3">
        <v>16777216</v>
      </c>
      <c r="Q57" s="2">
        <v>0</v>
      </c>
      <c r="R57" s="2">
        <v>166.7927</v>
      </c>
      <c r="S57" s="2">
        <v>29.79</v>
      </c>
      <c r="T57" s="2">
        <v>26.646999999999998</v>
      </c>
      <c r="U57" s="2">
        <v>3.1429999999999998</v>
      </c>
      <c r="V57" s="2">
        <v>89.45</v>
      </c>
      <c r="W57" s="2" t="s">
        <v>570</v>
      </c>
    </row>
    <row r="58" spans="1:23" x14ac:dyDescent="0.35">
      <c r="B58" s="2" t="s">
        <v>332</v>
      </c>
      <c r="C58" s="2">
        <v>3217.6469999999999</v>
      </c>
      <c r="D58" s="2">
        <v>553.88300000000004</v>
      </c>
      <c r="E58" s="2">
        <v>191.78700000000001</v>
      </c>
      <c r="F58" s="2">
        <v>33.014000000000003</v>
      </c>
      <c r="G58" s="2">
        <v>3771.53</v>
      </c>
      <c r="H58" s="2">
        <v>224.80099999999999</v>
      </c>
      <c r="I58" s="2" t="s">
        <v>85</v>
      </c>
      <c r="J58" s="2" t="s">
        <v>84</v>
      </c>
      <c r="K58" s="2">
        <v>10</v>
      </c>
      <c r="L58" s="2">
        <v>3</v>
      </c>
      <c r="M58" s="2">
        <v>350</v>
      </c>
      <c r="N58" s="3">
        <v>8192</v>
      </c>
      <c r="O58" s="3">
        <v>2048</v>
      </c>
      <c r="P58" s="3">
        <v>16777216</v>
      </c>
      <c r="Q58" s="2">
        <v>64</v>
      </c>
      <c r="R58" s="2">
        <v>117.00109999999999</v>
      </c>
      <c r="S58" s="2">
        <v>32.234999999999999</v>
      </c>
      <c r="T58" s="2">
        <v>27.501000000000001</v>
      </c>
      <c r="U58" s="2">
        <v>4.734</v>
      </c>
      <c r="V58" s="2">
        <v>85.31</v>
      </c>
      <c r="W58" s="2" t="s">
        <v>570</v>
      </c>
    </row>
    <row r="59" spans="1:23" x14ac:dyDescent="0.35">
      <c r="B59" s="2" t="s">
        <v>314</v>
      </c>
      <c r="C59" s="2">
        <v>2920.9569999999999</v>
      </c>
      <c r="D59" s="2">
        <v>511.02300000000002</v>
      </c>
      <c r="E59" s="2">
        <v>174.10300000000001</v>
      </c>
      <c r="F59" s="2">
        <v>30.459</v>
      </c>
      <c r="G59" s="2">
        <v>3431.9810000000002</v>
      </c>
      <c r="H59" s="2">
        <v>204.56200000000001</v>
      </c>
      <c r="I59" s="2" t="s">
        <v>85</v>
      </c>
      <c r="J59" s="2" t="s">
        <v>84</v>
      </c>
      <c r="K59" s="2">
        <v>10</v>
      </c>
      <c r="L59" s="2">
        <v>4</v>
      </c>
      <c r="M59" s="2">
        <v>325</v>
      </c>
      <c r="N59" s="3">
        <v>8192</v>
      </c>
      <c r="O59" s="3">
        <v>2048</v>
      </c>
      <c r="P59" s="3">
        <v>16777216</v>
      </c>
      <c r="Q59" s="2">
        <v>0</v>
      </c>
      <c r="R59" s="2">
        <v>94.581400000000002</v>
      </c>
      <c r="S59" s="2">
        <v>36.286000000000001</v>
      </c>
      <c r="T59" s="2">
        <v>30.882999999999999</v>
      </c>
      <c r="U59" s="2">
        <v>5.4029999999999996</v>
      </c>
      <c r="V59" s="2">
        <v>85.11</v>
      </c>
      <c r="W59" s="2" t="s">
        <v>570</v>
      </c>
    </row>
    <row r="60" spans="1:23" x14ac:dyDescent="0.35">
      <c r="B60" s="2" t="s">
        <v>329</v>
      </c>
      <c r="C60" s="2">
        <v>2342.5369999999998</v>
      </c>
      <c r="D60" s="2">
        <v>559.702</v>
      </c>
      <c r="E60" s="2">
        <v>139.626</v>
      </c>
      <c r="F60" s="2">
        <v>33.360999999999997</v>
      </c>
      <c r="G60" s="2">
        <v>2902.239</v>
      </c>
      <c r="H60" s="2">
        <v>172.98699999999999</v>
      </c>
      <c r="I60" s="2" t="s">
        <v>85</v>
      </c>
      <c r="J60" s="2" t="s">
        <v>84</v>
      </c>
      <c r="K60" s="2">
        <v>10</v>
      </c>
      <c r="L60" s="2">
        <v>5</v>
      </c>
      <c r="M60" s="2">
        <v>300</v>
      </c>
      <c r="N60" s="3">
        <v>8192</v>
      </c>
      <c r="O60" s="3">
        <v>2048</v>
      </c>
      <c r="P60" s="3">
        <v>16777216</v>
      </c>
      <c r="Q60" s="2">
        <v>256</v>
      </c>
      <c r="R60" s="2">
        <v>71.784300000000002</v>
      </c>
      <c r="S60" s="2">
        <v>40.43</v>
      </c>
      <c r="T60" s="2">
        <v>32.633000000000003</v>
      </c>
      <c r="U60" s="2">
        <v>7.7969999999999997</v>
      </c>
      <c r="V60" s="2">
        <v>80.709999999999994</v>
      </c>
      <c r="W60" s="2" t="s">
        <v>570</v>
      </c>
    </row>
    <row r="61" spans="1:23" x14ac:dyDescent="0.35">
      <c r="B61" s="2" t="s">
        <v>325</v>
      </c>
      <c r="C61" s="2">
        <v>2068.4549999999999</v>
      </c>
      <c r="D61" s="2">
        <v>527.15300000000002</v>
      </c>
      <c r="E61" s="2">
        <v>123.29</v>
      </c>
      <c r="F61" s="2">
        <v>31.420999999999999</v>
      </c>
      <c r="G61" s="2">
        <v>2595.6080000000002</v>
      </c>
      <c r="H61" s="2">
        <v>154.71</v>
      </c>
      <c r="I61" s="2" t="s">
        <v>85</v>
      </c>
      <c r="J61" s="2" t="s">
        <v>84</v>
      </c>
      <c r="K61" s="2">
        <v>10</v>
      </c>
      <c r="L61" s="2">
        <v>6</v>
      </c>
      <c r="M61" s="2">
        <v>250</v>
      </c>
      <c r="N61" s="3">
        <v>8192</v>
      </c>
      <c r="O61" s="3">
        <v>2048</v>
      </c>
      <c r="P61" s="3">
        <v>16777216</v>
      </c>
      <c r="Q61" s="2">
        <v>0</v>
      </c>
      <c r="R61" s="2">
        <v>61.404000000000003</v>
      </c>
      <c r="S61" s="2">
        <v>42.271000000000001</v>
      </c>
      <c r="T61" s="2">
        <v>33.686</v>
      </c>
      <c r="U61" s="2">
        <v>8.5850000000000009</v>
      </c>
      <c r="V61" s="2">
        <v>79.69</v>
      </c>
      <c r="W61" s="2" t="s">
        <v>570</v>
      </c>
    </row>
    <row r="62" spans="1:23" x14ac:dyDescent="0.35">
      <c r="A62" s="2" t="s">
        <v>87</v>
      </c>
      <c r="B62" s="2" t="s">
        <v>342</v>
      </c>
      <c r="C62" s="2">
        <v>7806.1760000000004</v>
      </c>
      <c r="D62" s="2">
        <v>651.70100000000002</v>
      </c>
      <c r="E62" s="2">
        <v>465.28399999999999</v>
      </c>
      <c r="F62" s="2">
        <v>38.844000000000001</v>
      </c>
      <c r="G62" s="2">
        <v>8457.8760000000002</v>
      </c>
      <c r="H62" s="2">
        <v>504.12900000000002</v>
      </c>
      <c r="I62" s="2" t="s">
        <v>87</v>
      </c>
      <c r="J62" s="2" t="s">
        <v>86</v>
      </c>
      <c r="K62" s="2">
        <v>11</v>
      </c>
      <c r="L62" s="2">
        <v>1</v>
      </c>
      <c r="M62" s="2">
        <v>400</v>
      </c>
      <c r="N62" s="3">
        <v>2048</v>
      </c>
      <c r="O62" s="3">
        <v>8192</v>
      </c>
      <c r="P62" s="3">
        <v>16777216</v>
      </c>
      <c r="Q62" s="2">
        <v>0</v>
      </c>
      <c r="R62" s="2">
        <v>309.44959999999998</v>
      </c>
      <c r="S62" s="2">
        <v>27.332000000000001</v>
      </c>
      <c r="T62" s="2">
        <v>25.225999999999999</v>
      </c>
      <c r="U62" s="2">
        <v>2.1059999999999999</v>
      </c>
      <c r="V62" s="2">
        <v>92.29</v>
      </c>
      <c r="W62" s="2" t="s">
        <v>570</v>
      </c>
    </row>
    <row r="63" spans="1:23" x14ac:dyDescent="0.35">
      <c r="B63" s="2" t="s">
        <v>337</v>
      </c>
      <c r="C63" s="2">
        <v>4415.24</v>
      </c>
      <c r="D63" s="2">
        <v>520.77499999999998</v>
      </c>
      <c r="E63" s="2">
        <v>263.16899999999998</v>
      </c>
      <c r="F63" s="2">
        <v>31.041</v>
      </c>
      <c r="G63" s="2">
        <v>4936.0150000000003</v>
      </c>
      <c r="H63" s="2">
        <v>294.209</v>
      </c>
      <c r="I63" s="2" t="s">
        <v>87</v>
      </c>
      <c r="J63" s="2" t="s">
        <v>86</v>
      </c>
      <c r="K63" s="2">
        <v>11</v>
      </c>
      <c r="L63" s="2">
        <v>2</v>
      </c>
      <c r="M63" s="2">
        <v>375</v>
      </c>
      <c r="N63" s="3">
        <v>2048</v>
      </c>
      <c r="O63" s="3">
        <v>8192</v>
      </c>
      <c r="P63" s="3">
        <v>16777216</v>
      </c>
      <c r="Q63" s="2">
        <v>0</v>
      </c>
      <c r="R63" s="2">
        <v>165.69370000000001</v>
      </c>
      <c r="S63" s="2">
        <v>29.79</v>
      </c>
      <c r="T63" s="2">
        <v>26.646999999999998</v>
      </c>
      <c r="U63" s="2">
        <v>3.1429999999999998</v>
      </c>
      <c r="V63" s="2">
        <v>89.45</v>
      </c>
      <c r="W63" s="2" t="s">
        <v>570</v>
      </c>
    </row>
    <row r="64" spans="1:23" x14ac:dyDescent="0.35">
      <c r="B64" s="2" t="s">
        <v>332</v>
      </c>
      <c r="C64" s="2">
        <v>3334.1280000000002</v>
      </c>
      <c r="D64" s="2">
        <v>573.93399999999997</v>
      </c>
      <c r="E64" s="2">
        <v>198.72900000000001</v>
      </c>
      <c r="F64" s="2">
        <v>34.209000000000003</v>
      </c>
      <c r="G64" s="2">
        <v>3908.0619999999999</v>
      </c>
      <c r="H64" s="2">
        <v>232.93899999999999</v>
      </c>
      <c r="I64" s="2" t="s">
        <v>87</v>
      </c>
      <c r="J64" s="2" t="s">
        <v>86</v>
      </c>
      <c r="K64" s="2">
        <v>11</v>
      </c>
      <c r="L64" s="2">
        <v>3</v>
      </c>
      <c r="M64" s="2">
        <v>350</v>
      </c>
      <c r="N64" s="3">
        <v>2048</v>
      </c>
      <c r="O64" s="3">
        <v>8192</v>
      </c>
      <c r="P64" s="3">
        <v>16777216</v>
      </c>
      <c r="Q64" s="2">
        <v>64</v>
      </c>
      <c r="R64" s="2">
        <v>121.2366</v>
      </c>
      <c r="S64" s="2">
        <v>32.234999999999999</v>
      </c>
      <c r="T64" s="2">
        <v>27.501000000000001</v>
      </c>
      <c r="U64" s="2">
        <v>4.734</v>
      </c>
      <c r="V64" s="2">
        <v>85.31</v>
      </c>
      <c r="W64" s="2" t="s">
        <v>570</v>
      </c>
    </row>
    <row r="65" spans="2:23" x14ac:dyDescent="0.35">
      <c r="B65" s="2" t="s">
        <v>314</v>
      </c>
      <c r="C65" s="2">
        <v>2938.768</v>
      </c>
      <c r="D65" s="2">
        <v>514.13900000000001</v>
      </c>
      <c r="E65" s="2">
        <v>175.16399999999999</v>
      </c>
      <c r="F65" s="2">
        <v>30.645</v>
      </c>
      <c r="G65" s="2">
        <v>3452.9070000000002</v>
      </c>
      <c r="H65" s="2">
        <v>205.809</v>
      </c>
      <c r="I65" s="2" t="s">
        <v>87</v>
      </c>
      <c r="J65" s="2" t="s">
        <v>86</v>
      </c>
      <c r="K65" s="2">
        <v>11</v>
      </c>
      <c r="L65" s="2">
        <v>4</v>
      </c>
      <c r="M65" s="2">
        <v>325</v>
      </c>
      <c r="N65" s="3">
        <v>2048</v>
      </c>
      <c r="O65" s="3">
        <v>8192</v>
      </c>
      <c r="P65" s="3">
        <v>16777216</v>
      </c>
      <c r="Q65" s="2">
        <v>0</v>
      </c>
      <c r="R65" s="2">
        <v>95.158100000000005</v>
      </c>
      <c r="S65" s="2">
        <v>36.286000000000001</v>
      </c>
      <c r="T65" s="2">
        <v>30.882999999999999</v>
      </c>
      <c r="U65" s="2">
        <v>5.4029999999999996</v>
      </c>
      <c r="V65" s="2">
        <v>85.11</v>
      </c>
      <c r="W65" s="2" t="s">
        <v>570</v>
      </c>
    </row>
    <row r="66" spans="2:23" x14ac:dyDescent="0.35">
      <c r="B66" s="2" t="s">
        <v>329</v>
      </c>
      <c r="C66" s="2">
        <v>2495.8440000000001</v>
      </c>
      <c r="D66" s="2">
        <v>596.33199999999999</v>
      </c>
      <c r="E66" s="2">
        <v>148.76400000000001</v>
      </c>
      <c r="F66" s="2">
        <v>35.543999999999997</v>
      </c>
      <c r="G66" s="2">
        <v>3092.1750000000002</v>
      </c>
      <c r="H66" s="2">
        <v>184.30799999999999</v>
      </c>
      <c r="I66" s="2" t="s">
        <v>87</v>
      </c>
      <c r="J66" s="2" t="s">
        <v>86</v>
      </c>
      <c r="K66" s="2">
        <v>11</v>
      </c>
      <c r="L66" s="2">
        <v>5</v>
      </c>
      <c r="M66" s="2">
        <v>300</v>
      </c>
      <c r="N66" s="3">
        <v>2048</v>
      </c>
      <c r="O66" s="3">
        <v>8192</v>
      </c>
      <c r="P66" s="3">
        <v>16777216</v>
      </c>
      <c r="Q66" s="2">
        <v>256</v>
      </c>
      <c r="R66" s="2">
        <v>76.482200000000006</v>
      </c>
      <c r="S66" s="2">
        <v>40.43</v>
      </c>
      <c r="T66" s="2">
        <v>32.633000000000003</v>
      </c>
      <c r="U66" s="2">
        <v>7.7969999999999997</v>
      </c>
      <c r="V66" s="2">
        <v>80.709999999999994</v>
      </c>
      <c r="W66" s="2" t="s">
        <v>570</v>
      </c>
    </row>
    <row r="67" spans="2:23" x14ac:dyDescent="0.35">
      <c r="B67" s="2" t="s">
        <v>325</v>
      </c>
      <c r="C67" s="2">
        <v>2076.415</v>
      </c>
      <c r="D67" s="2">
        <v>529.18200000000002</v>
      </c>
      <c r="E67" s="2">
        <v>123.764</v>
      </c>
      <c r="F67" s="2">
        <v>31.542000000000002</v>
      </c>
      <c r="G67" s="2">
        <v>2605.5970000000002</v>
      </c>
      <c r="H67" s="2">
        <v>155.30600000000001</v>
      </c>
      <c r="I67" s="2" t="s">
        <v>87</v>
      </c>
      <c r="J67" s="2" t="s">
        <v>86</v>
      </c>
      <c r="K67" s="2">
        <v>11</v>
      </c>
      <c r="L67" s="2">
        <v>6</v>
      </c>
      <c r="M67" s="2">
        <v>250</v>
      </c>
      <c r="N67" s="3">
        <v>2048</v>
      </c>
      <c r="O67" s="3">
        <v>8192</v>
      </c>
      <c r="P67" s="3">
        <v>16777216</v>
      </c>
      <c r="Q67" s="2">
        <v>0</v>
      </c>
      <c r="R67" s="2">
        <v>61.640300000000003</v>
      </c>
      <c r="S67" s="2">
        <v>42.271000000000001</v>
      </c>
      <c r="T67" s="2">
        <v>33.686</v>
      </c>
      <c r="U67" s="2">
        <v>8.5850000000000009</v>
      </c>
      <c r="V67" s="2">
        <v>79.69</v>
      </c>
      <c r="W67" s="2" t="s">
        <v>570</v>
      </c>
    </row>
  </sheetData>
  <autoFilter ref="A1:W67" xr:uid="{00000000-0009-0000-0000-00001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CCFD-F146-407C-AD37-78B256D3E59F}">
  <dimension ref="A1:V7"/>
  <sheetViews>
    <sheetView zoomScale="40" zoomScaleNormal="4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0" customWidth="1"/>
    <col min="3" max="4" width="14" customWidth="1"/>
    <col min="5" max="5" width="13" customWidth="1"/>
    <col min="6" max="6" width="15" customWidth="1"/>
    <col min="7" max="7" width="14" customWidth="1"/>
    <col min="8" max="8" width="22" customWidth="1"/>
    <col min="9" max="10" width="10" customWidth="1"/>
    <col min="11" max="11" width="11" customWidth="1"/>
    <col min="12" max="12" width="10" customWidth="1"/>
    <col min="13" max="13" width="19" customWidth="1"/>
    <col min="14" max="14" width="15" customWidth="1"/>
    <col min="15" max="15" width="14" customWidth="1"/>
    <col min="16" max="16" width="16" customWidth="1"/>
    <col min="17" max="17" width="15" customWidth="1"/>
    <col min="18" max="18" width="24" customWidth="1"/>
    <col min="19" max="19" width="14" customWidth="1"/>
    <col min="20" max="20" width="13" customWidth="1"/>
    <col min="21" max="21" width="12" customWidth="1"/>
    <col min="22" max="22" width="25" customWidth="1"/>
  </cols>
  <sheetData>
    <row r="1" spans="1:22" ht="30" customHeight="1" x14ac:dyDescent="0.35">
      <c r="A1" s="1" t="s">
        <v>356</v>
      </c>
      <c r="B1" s="1" t="s">
        <v>290</v>
      </c>
      <c r="C1" s="1" t="s">
        <v>294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545</v>
      </c>
      <c r="N1" s="1" t="s">
        <v>546</v>
      </c>
      <c r="O1" s="1" t="s">
        <v>547</v>
      </c>
      <c r="P1" s="1" t="s">
        <v>548</v>
      </c>
      <c r="Q1" s="1" t="s">
        <v>549</v>
      </c>
      <c r="R1" s="1" t="s">
        <v>550</v>
      </c>
      <c r="S1" s="1" t="s">
        <v>551</v>
      </c>
      <c r="T1" s="1" t="s">
        <v>552</v>
      </c>
      <c r="U1" s="1" t="s">
        <v>553</v>
      </c>
      <c r="V1" s="1" t="s">
        <v>421</v>
      </c>
    </row>
    <row r="2" spans="1:22" x14ac:dyDescent="0.35">
      <c r="A2" s="2" t="s">
        <v>512</v>
      </c>
      <c r="B2" s="2" t="s">
        <v>342</v>
      </c>
      <c r="C2" s="2">
        <v>16</v>
      </c>
      <c r="D2" s="2">
        <v>10.44</v>
      </c>
      <c r="E2" s="2">
        <v>7.73</v>
      </c>
      <c r="F2" s="2">
        <v>15.85</v>
      </c>
      <c r="G2" s="2">
        <v>1.46</v>
      </c>
      <c r="H2" s="2">
        <v>18.75</v>
      </c>
      <c r="I2" s="3">
        <v>136008</v>
      </c>
      <c r="J2" s="3">
        <v>201446</v>
      </c>
      <c r="K2" s="2">
        <v>319.5</v>
      </c>
      <c r="L2" s="2">
        <v>132</v>
      </c>
      <c r="M2" s="2">
        <v>6</v>
      </c>
      <c r="N2" s="3">
        <v>1302720</v>
      </c>
      <c r="O2" s="3">
        <v>2607360</v>
      </c>
      <c r="P2" s="3">
        <v>2016</v>
      </c>
      <c r="Q2" s="3">
        <v>9024</v>
      </c>
      <c r="R2" s="2">
        <v>32</v>
      </c>
      <c r="S2" s="3">
        <v>108367</v>
      </c>
      <c r="T2" s="3">
        <v>27663</v>
      </c>
      <c r="U2" s="2">
        <v>128</v>
      </c>
      <c r="V2" s="2" t="s">
        <v>427</v>
      </c>
    </row>
    <row r="3" spans="1:22" x14ac:dyDescent="0.35">
      <c r="A3" s="2" t="s">
        <v>513</v>
      </c>
      <c r="B3" s="2" t="s">
        <v>337</v>
      </c>
      <c r="C3" s="2">
        <v>32</v>
      </c>
      <c r="D3" s="2">
        <v>12.66</v>
      </c>
      <c r="E3" s="2">
        <v>9.3699999999999992</v>
      </c>
      <c r="F3" s="2">
        <v>19.100000000000001</v>
      </c>
      <c r="G3" s="2">
        <v>2.88</v>
      </c>
      <c r="H3" s="2">
        <v>31.25</v>
      </c>
      <c r="I3" s="3">
        <v>164951</v>
      </c>
      <c r="J3" s="3">
        <v>244328</v>
      </c>
      <c r="K3" s="2">
        <v>385</v>
      </c>
      <c r="L3" s="2">
        <v>260</v>
      </c>
      <c r="M3" s="2">
        <v>10</v>
      </c>
      <c r="N3" s="3">
        <v>1302720</v>
      </c>
      <c r="O3" s="3">
        <v>2607360</v>
      </c>
      <c r="P3" s="3">
        <v>2016</v>
      </c>
      <c r="Q3" s="3">
        <v>9024</v>
      </c>
      <c r="R3" s="2">
        <v>32</v>
      </c>
      <c r="S3" s="3">
        <v>113619</v>
      </c>
      <c r="T3" s="3">
        <v>51369</v>
      </c>
      <c r="U3" s="2">
        <v>256</v>
      </c>
      <c r="V3" s="2" t="s">
        <v>428</v>
      </c>
    </row>
    <row r="4" spans="1:22" x14ac:dyDescent="0.35">
      <c r="A4" s="2" t="s">
        <v>514</v>
      </c>
      <c r="B4" s="2" t="s">
        <v>332</v>
      </c>
      <c r="C4" s="2">
        <v>48</v>
      </c>
      <c r="D4" s="2">
        <v>14.9</v>
      </c>
      <c r="E4" s="2">
        <v>11</v>
      </c>
      <c r="F4" s="2">
        <v>22.57</v>
      </c>
      <c r="G4" s="2">
        <v>4.3</v>
      </c>
      <c r="H4" s="2">
        <v>40.625</v>
      </c>
      <c r="I4" s="3">
        <v>194167</v>
      </c>
      <c r="J4" s="3">
        <v>286698</v>
      </c>
      <c r="K4" s="2">
        <v>455</v>
      </c>
      <c r="L4" s="2">
        <v>388</v>
      </c>
      <c r="M4" s="2">
        <v>13</v>
      </c>
      <c r="N4" s="3">
        <v>1302720</v>
      </c>
      <c r="O4" s="3">
        <v>2607360</v>
      </c>
      <c r="P4" s="3">
        <v>2016</v>
      </c>
      <c r="Q4" s="3">
        <v>9024</v>
      </c>
      <c r="R4" s="2">
        <v>32</v>
      </c>
      <c r="S4" s="3">
        <v>117826</v>
      </c>
      <c r="T4" s="3">
        <v>76397</v>
      </c>
      <c r="U4" s="2">
        <v>384</v>
      </c>
      <c r="V4" s="2" t="s">
        <v>429</v>
      </c>
    </row>
    <row r="5" spans="1:22" x14ac:dyDescent="0.35">
      <c r="A5" s="2" t="s">
        <v>515</v>
      </c>
      <c r="B5" s="2" t="s">
        <v>314</v>
      </c>
      <c r="C5" s="2">
        <v>64</v>
      </c>
      <c r="D5" s="2">
        <v>16.829999999999998</v>
      </c>
      <c r="E5" s="2">
        <v>12.61</v>
      </c>
      <c r="F5" s="2">
        <v>26.02</v>
      </c>
      <c r="G5" s="2">
        <v>5.72</v>
      </c>
      <c r="H5" s="2">
        <v>53.125</v>
      </c>
      <c r="I5" s="3">
        <v>219205</v>
      </c>
      <c r="J5" s="3">
        <v>328755</v>
      </c>
      <c r="K5" s="2">
        <v>524.5</v>
      </c>
      <c r="L5" s="2">
        <v>516</v>
      </c>
      <c r="M5" s="2">
        <v>17</v>
      </c>
      <c r="N5" s="3">
        <v>1302720</v>
      </c>
      <c r="O5" s="3">
        <v>2607360</v>
      </c>
      <c r="P5" s="3">
        <v>2016</v>
      </c>
      <c r="Q5" s="3">
        <v>9024</v>
      </c>
      <c r="R5" s="2">
        <v>32</v>
      </c>
      <c r="S5" s="3">
        <v>123857</v>
      </c>
      <c r="T5" s="3">
        <v>95408</v>
      </c>
      <c r="U5" s="2">
        <v>512</v>
      </c>
      <c r="V5" s="2" t="s">
        <v>432</v>
      </c>
    </row>
    <row r="6" spans="1:22" x14ac:dyDescent="0.35">
      <c r="A6" s="2" t="s">
        <v>516</v>
      </c>
      <c r="B6" s="2" t="s">
        <v>329</v>
      </c>
      <c r="C6" s="2">
        <v>96</v>
      </c>
      <c r="D6" s="2">
        <v>20.62</v>
      </c>
      <c r="E6" s="2">
        <v>15.65</v>
      </c>
      <c r="F6" s="2">
        <v>32.840000000000003</v>
      </c>
      <c r="G6" s="2">
        <v>8.5500000000000007</v>
      </c>
      <c r="H6" s="2">
        <v>75</v>
      </c>
      <c r="I6" s="3">
        <v>268592</v>
      </c>
      <c r="J6" s="3">
        <v>408136</v>
      </c>
      <c r="K6" s="2">
        <v>662</v>
      </c>
      <c r="L6" s="2">
        <v>772</v>
      </c>
      <c r="M6" s="2">
        <v>24</v>
      </c>
      <c r="N6" s="3">
        <v>1302720</v>
      </c>
      <c r="O6" s="3">
        <v>2607360</v>
      </c>
      <c r="P6" s="3">
        <v>2016</v>
      </c>
      <c r="Q6" s="3">
        <v>9024</v>
      </c>
      <c r="R6" s="2">
        <v>32</v>
      </c>
      <c r="S6" s="3">
        <v>133427</v>
      </c>
      <c r="T6" s="3">
        <v>135243</v>
      </c>
      <c r="U6" s="2">
        <v>768</v>
      </c>
      <c r="V6" s="2" t="s">
        <v>434</v>
      </c>
    </row>
    <row r="7" spans="1:22" x14ac:dyDescent="0.35">
      <c r="A7" s="2" t="s">
        <v>517</v>
      </c>
      <c r="B7" s="2" t="s">
        <v>325</v>
      </c>
      <c r="C7" s="2">
        <v>128</v>
      </c>
      <c r="D7" s="2">
        <v>25.08</v>
      </c>
      <c r="E7" s="2">
        <v>19.559999999999999</v>
      </c>
      <c r="F7" s="2">
        <v>39.83</v>
      </c>
      <c r="G7" s="2">
        <v>11.39</v>
      </c>
      <c r="H7" s="2">
        <v>100</v>
      </c>
      <c r="I7" s="3">
        <v>326752</v>
      </c>
      <c r="J7" s="3">
        <v>509949</v>
      </c>
      <c r="K7" s="2">
        <v>803</v>
      </c>
      <c r="L7" s="3">
        <v>1028</v>
      </c>
      <c r="M7" s="2">
        <v>32</v>
      </c>
      <c r="N7" s="3">
        <v>1302720</v>
      </c>
      <c r="O7" s="3">
        <v>2607360</v>
      </c>
      <c r="P7" s="3">
        <v>2016</v>
      </c>
      <c r="Q7" s="3">
        <v>9024</v>
      </c>
      <c r="R7" s="2">
        <v>32</v>
      </c>
      <c r="S7" s="3">
        <v>149164</v>
      </c>
      <c r="T7" s="3">
        <v>177696</v>
      </c>
      <c r="U7" s="3">
        <v>1024</v>
      </c>
      <c r="V7" s="2" t="s">
        <v>435</v>
      </c>
    </row>
  </sheetData>
  <autoFilter ref="A1:V7" xr:uid="{00000000-0009-0000-0000-00000E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9972-B181-4881-87F9-62D44D4976E4}">
  <dimension ref="A1:CK7"/>
  <sheetViews>
    <sheetView topLeftCell="BL1" zoomScale="25" zoomScaleNormal="25" workbookViewId="0">
      <pane ySplit="1" topLeftCell="A2" activePane="bottomLeft" state="frozen"/>
      <selection pane="bottomLeft" activeCell="BS45" sqref="BS45"/>
    </sheetView>
  </sheetViews>
  <sheetFormatPr defaultRowHeight="14.5" x14ac:dyDescent="0.35"/>
  <cols>
    <col min="1" max="1" width="14" customWidth="1"/>
    <col min="2" max="4" width="10" customWidth="1"/>
    <col min="5" max="5" width="14" customWidth="1"/>
    <col min="6" max="8" width="10" customWidth="1"/>
    <col min="9" max="9" width="15" customWidth="1"/>
    <col min="10" max="10" width="19" customWidth="1"/>
    <col min="11" max="11" width="17" customWidth="1"/>
    <col min="12" max="12" width="19" customWidth="1"/>
    <col min="13" max="13" width="22" customWidth="1"/>
    <col min="14" max="14" width="16" customWidth="1"/>
    <col min="15" max="15" width="19" customWidth="1"/>
    <col min="16" max="16" width="23" customWidth="1"/>
    <col min="17" max="18" width="19" customWidth="1"/>
    <col min="19" max="23" width="20" customWidth="1"/>
    <col min="24" max="26" width="21" customWidth="1"/>
    <col min="27" max="28" width="20" customWidth="1"/>
    <col min="29" max="31" width="21" customWidth="1"/>
    <col min="32" max="33" width="24" customWidth="1"/>
    <col min="34" max="36" width="25" customWidth="1"/>
    <col min="37" max="38" width="23" customWidth="1"/>
    <col min="39" max="41" width="24" customWidth="1"/>
    <col min="42" max="43" width="25" customWidth="1"/>
    <col min="44" max="46" width="26" customWidth="1"/>
    <col min="47" max="48" width="22" customWidth="1"/>
    <col min="49" max="51" width="23" customWidth="1"/>
    <col min="52" max="53" width="20" customWidth="1"/>
    <col min="54" max="56" width="21" customWidth="1"/>
    <col min="57" max="58" width="22" customWidth="1"/>
    <col min="59" max="61" width="23" customWidth="1"/>
    <col min="62" max="63" width="18" customWidth="1"/>
    <col min="64" max="66" width="19" customWidth="1"/>
    <col min="67" max="68" width="22" customWidth="1"/>
    <col min="69" max="71" width="23" customWidth="1"/>
    <col min="72" max="73" width="25" customWidth="1"/>
    <col min="74" max="78" width="26" customWidth="1"/>
    <col min="79" max="81" width="27" customWidth="1"/>
    <col min="82" max="83" width="23" customWidth="1"/>
    <col min="84" max="86" width="24" customWidth="1"/>
    <col min="87" max="87" width="15" customWidth="1"/>
    <col min="88" max="88" width="23" customWidth="1"/>
    <col min="89" max="89" width="20" customWidth="1"/>
  </cols>
  <sheetData>
    <row r="1" spans="1:89" ht="30" customHeight="1" x14ac:dyDescent="0.35">
      <c r="A1" s="1" t="s">
        <v>356</v>
      </c>
      <c r="B1" s="1" t="s">
        <v>290</v>
      </c>
      <c r="C1" s="1" t="s">
        <v>291</v>
      </c>
      <c r="D1" s="1" t="s">
        <v>292</v>
      </c>
      <c r="E1" s="1" t="s">
        <v>294</v>
      </c>
      <c r="F1" s="1" t="s">
        <v>355</v>
      </c>
      <c r="G1" s="1" t="s">
        <v>354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454</v>
      </c>
      <c r="O1" s="1" t="s">
        <v>455</v>
      </c>
      <c r="P1" s="1" t="s">
        <v>456</v>
      </c>
      <c r="Q1" s="1" t="s">
        <v>457</v>
      </c>
      <c r="R1" s="1" t="s">
        <v>458</v>
      </c>
      <c r="S1" s="1" t="s">
        <v>459</v>
      </c>
      <c r="T1" s="1" t="s">
        <v>460</v>
      </c>
      <c r="U1" s="1" t="s">
        <v>461</v>
      </c>
      <c r="V1" s="1" t="s">
        <v>462</v>
      </c>
      <c r="W1" s="1" t="s">
        <v>463</v>
      </c>
      <c r="X1" s="1" t="s">
        <v>464</v>
      </c>
      <c r="Y1" s="1" t="s">
        <v>465</v>
      </c>
      <c r="Z1" s="1" t="s">
        <v>466</v>
      </c>
      <c r="AA1" s="1" t="s">
        <v>467</v>
      </c>
      <c r="AB1" s="1" t="s">
        <v>468</v>
      </c>
      <c r="AC1" s="1" t="s">
        <v>469</v>
      </c>
      <c r="AD1" s="1" t="s">
        <v>470</v>
      </c>
      <c r="AE1" s="1" t="s">
        <v>471</v>
      </c>
      <c r="AF1" s="1" t="s">
        <v>472</v>
      </c>
      <c r="AG1" s="1" t="s">
        <v>473</v>
      </c>
      <c r="AH1" s="1" t="s">
        <v>474</v>
      </c>
      <c r="AI1" s="1" t="s">
        <v>475</v>
      </c>
      <c r="AJ1" s="1" t="s">
        <v>476</v>
      </c>
      <c r="AK1" s="1" t="s">
        <v>477</v>
      </c>
      <c r="AL1" s="1" t="s">
        <v>478</v>
      </c>
      <c r="AM1" s="1" t="s">
        <v>479</v>
      </c>
      <c r="AN1" s="1" t="s">
        <v>480</v>
      </c>
      <c r="AO1" s="1" t="s">
        <v>481</v>
      </c>
      <c r="AP1" s="1" t="s">
        <v>482</v>
      </c>
      <c r="AQ1" s="1" t="s">
        <v>483</v>
      </c>
      <c r="AR1" s="1" t="s">
        <v>484</v>
      </c>
      <c r="AS1" s="1" t="s">
        <v>485</v>
      </c>
      <c r="AT1" s="1" t="s">
        <v>486</v>
      </c>
      <c r="AU1" s="1" t="s">
        <v>487</v>
      </c>
      <c r="AV1" s="1" t="s">
        <v>488</v>
      </c>
      <c r="AW1" s="1" t="s">
        <v>489</v>
      </c>
      <c r="AX1" s="1" t="s">
        <v>490</v>
      </c>
      <c r="AY1" s="1" t="s">
        <v>491</v>
      </c>
      <c r="AZ1" s="1" t="s">
        <v>492</v>
      </c>
      <c r="BA1" s="1" t="s">
        <v>493</v>
      </c>
      <c r="BB1" s="1" t="s">
        <v>494</v>
      </c>
      <c r="BC1" s="1" t="s">
        <v>495</v>
      </c>
      <c r="BD1" s="1" t="s">
        <v>496</v>
      </c>
      <c r="BE1" s="1" t="s">
        <v>497</v>
      </c>
      <c r="BF1" s="1" t="s">
        <v>498</v>
      </c>
      <c r="BG1" s="1" t="s">
        <v>499</v>
      </c>
      <c r="BH1" s="1" t="s">
        <v>500</v>
      </c>
      <c r="BI1" s="1" t="s">
        <v>501</v>
      </c>
      <c r="BJ1" s="1" t="s">
        <v>502</v>
      </c>
      <c r="BK1" s="1" t="s">
        <v>503</v>
      </c>
      <c r="BL1" s="1" t="s">
        <v>504</v>
      </c>
      <c r="BM1" s="1" t="s">
        <v>505</v>
      </c>
      <c r="BN1" s="1" t="s">
        <v>506</v>
      </c>
      <c r="BO1" s="1" t="s">
        <v>507</v>
      </c>
      <c r="BP1" s="1" t="s">
        <v>508</v>
      </c>
      <c r="BQ1" s="1" t="s">
        <v>509</v>
      </c>
      <c r="BR1" s="1" t="s">
        <v>510</v>
      </c>
      <c r="BS1" s="1" t="s">
        <v>511</v>
      </c>
      <c r="BT1" s="1" t="s">
        <v>518</v>
      </c>
      <c r="BU1" s="1" t="s">
        <v>519</v>
      </c>
      <c r="BV1" s="1" t="s">
        <v>520</v>
      </c>
      <c r="BW1" s="1" t="s">
        <v>521</v>
      </c>
      <c r="BX1" s="1" t="s">
        <v>522</v>
      </c>
      <c r="BY1" s="1" t="s">
        <v>523</v>
      </c>
      <c r="BZ1" s="1" t="s">
        <v>524</v>
      </c>
      <c r="CA1" s="1" t="s">
        <v>525</v>
      </c>
      <c r="CB1" s="1" t="s">
        <v>526</v>
      </c>
      <c r="CC1" s="1" t="s">
        <v>527</v>
      </c>
      <c r="CD1" s="1" t="s">
        <v>528</v>
      </c>
      <c r="CE1" s="1" t="s">
        <v>529</v>
      </c>
      <c r="CF1" s="1" t="s">
        <v>530</v>
      </c>
      <c r="CG1" s="1" t="s">
        <v>531</v>
      </c>
      <c r="CH1" s="1" t="s">
        <v>532</v>
      </c>
      <c r="CI1" s="1" t="s">
        <v>533</v>
      </c>
      <c r="CJ1" s="1" t="s">
        <v>534</v>
      </c>
      <c r="CK1" s="1" t="s">
        <v>535</v>
      </c>
    </row>
    <row r="2" spans="1:89" x14ac:dyDescent="0.35">
      <c r="A2" s="2" t="s">
        <v>512</v>
      </c>
      <c r="B2" s="2" t="s">
        <v>342</v>
      </c>
      <c r="C2" s="2">
        <v>4</v>
      </c>
      <c r="D2" s="2">
        <v>4</v>
      </c>
      <c r="E2" s="2">
        <v>16</v>
      </c>
      <c r="F2" s="2">
        <v>128</v>
      </c>
      <c r="G2" s="2">
        <v>6</v>
      </c>
      <c r="H2" s="2">
        <v>6</v>
      </c>
      <c r="I2" s="2">
        <v>32</v>
      </c>
      <c r="J2" s="2">
        <v>619.6</v>
      </c>
      <c r="K2" s="2">
        <v>400</v>
      </c>
      <c r="L2" s="2">
        <v>403.6</v>
      </c>
      <c r="M2" s="2">
        <v>0.64600000000000002</v>
      </c>
      <c r="N2" s="2">
        <v>325.10000000000002</v>
      </c>
      <c r="O2" s="2">
        <v>12.9</v>
      </c>
      <c r="P2" s="2">
        <v>25.6</v>
      </c>
      <c r="Q2" s="2">
        <v>27.728999999999999</v>
      </c>
      <c r="R2" s="2">
        <v>27.457999999999998</v>
      </c>
      <c r="S2" s="2">
        <v>27.602</v>
      </c>
      <c r="T2" s="2">
        <v>27.472000000000001</v>
      </c>
      <c r="U2" s="2">
        <v>27.332000000000001</v>
      </c>
      <c r="V2" s="2">
        <v>50.6</v>
      </c>
      <c r="W2" s="2">
        <v>101.1</v>
      </c>
      <c r="X2" s="2">
        <v>200.82</v>
      </c>
      <c r="Y2" s="2">
        <v>396.41</v>
      </c>
      <c r="Z2" s="2">
        <v>107.64</v>
      </c>
      <c r="AA2" s="2">
        <v>25.3</v>
      </c>
      <c r="AB2" s="2">
        <v>25.28</v>
      </c>
      <c r="AC2" s="2">
        <v>25.1</v>
      </c>
      <c r="AD2" s="2">
        <v>24.78</v>
      </c>
      <c r="AE2" s="2">
        <v>25.23</v>
      </c>
      <c r="AF2" s="2">
        <v>98.83</v>
      </c>
      <c r="AG2" s="2">
        <v>98.73</v>
      </c>
      <c r="AH2" s="2">
        <v>98.06</v>
      </c>
      <c r="AI2" s="2">
        <v>96.78</v>
      </c>
      <c r="AJ2" s="2">
        <v>98.55</v>
      </c>
      <c r="AK2" s="2">
        <v>395.3</v>
      </c>
      <c r="AL2" s="2">
        <v>394.9</v>
      </c>
      <c r="AM2" s="2">
        <v>392.2</v>
      </c>
      <c r="AN2" s="2">
        <v>387.1</v>
      </c>
      <c r="AO2" s="2">
        <v>394.2</v>
      </c>
      <c r="AP2" s="2">
        <v>1163.03</v>
      </c>
      <c r="AQ2" s="2">
        <v>577.26</v>
      </c>
      <c r="AR2" s="2">
        <v>291.77999999999997</v>
      </c>
      <c r="AS2" s="2">
        <v>147.59</v>
      </c>
      <c r="AT2" s="2">
        <v>541.53</v>
      </c>
      <c r="AU2" s="2">
        <v>1.82</v>
      </c>
      <c r="AV2" s="2">
        <v>3.68</v>
      </c>
      <c r="AW2" s="2">
        <v>7.28</v>
      </c>
      <c r="AX2" s="2">
        <v>14.43</v>
      </c>
      <c r="AY2" s="2">
        <v>3.94</v>
      </c>
      <c r="AZ2" s="2">
        <v>6.42</v>
      </c>
      <c r="BA2" s="2">
        <v>6.4249999999999998</v>
      </c>
      <c r="BB2" s="2">
        <v>6.3550000000000004</v>
      </c>
      <c r="BC2" s="2">
        <v>6.2930000000000001</v>
      </c>
      <c r="BD2" s="2">
        <v>6.2389999999999999</v>
      </c>
      <c r="BE2" s="2">
        <v>0.28399999999999997</v>
      </c>
      <c r="BF2" s="2">
        <v>0.314</v>
      </c>
      <c r="BG2" s="2">
        <v>0.33400000000000002</v>
      </c>
      <c r="BH2" s="2">
        <v>0.29499999999999998</v>
      </c>
      <c r="BI2" s="2">
        <v>0.26500000000000001</v>
      </c>
      <c r="BJ2" s="2">
        <v>23.193999999999999</v>
      </c>
      <c r="BK2" s="2">
        <v>46.427</v>
      </c>
      <c r="BL2" s="2">
        <v>91.71</v>
      </c>
      <c r="BM2" s="2">
        <v>181.351</v>
      </c>
      <c r="BN2" s="2">
        <v>49.426000000000002</v>
      </c>
      <c r="BO2" s="2">
        <v>47.5</v>
      </c>
      <c r="BP2" s="2">
        <v>95.08</v>
      </c>
      <c r="BQ2" s="2">
        <v>187.82</v>
      </c>
      <c r="BR2" s="2">
        <v>371.41</v>
      </c>
      <c r="BS2" s="2">
        <v>101.22</v>
      </c>
      <c r="BT2" s="2">
        <v>2.1080000000000001</v>
      </c>
      <c r="BU2" s="2">
        <v>2.1059999999999999</v>
      </c>
      <c r="BV2" s="2">
        <v>2.0920000000000001</v>
      </c>
      <c r="BW2" s="2">
        <v>2.0649999999999999</v>
      </c>
      <c r="BX2" s="2">
        <v>2.1019999999999999</v>
      </c>
      <c r="BY2" s="2">
        <v>0.91200000000000003</v>
      </c>
      <c r="BZ2" s="2">
        <v>0.92100000000000004</v>
      </c>
      <c r="CA2" s="2">
        <v>0.90900000000000003</v>
      </c>
      <c r="CB2" s="2">
        <v>0.90200000000000002</v>
      </c>
      <c r="CC2" s="2">
        <v>0.92300000000000004</v>
      </c>
      <c r="CD2" s="2">
        <v>37.950000000000003</v>
      </c>
      <c r="CE2" s="2">
        <v>37.909999999999997</v>
      </c>
      <c r="CF2" s="2">
        <v>37.65</v>
      </c>
      <c r="CG2" s="2">
        <v>37.159999999999997</v>
      </c>
      <c r="CH2" s="2">
        <v>37.840000000000003</v>
      </c>
      <c r="CI2" s="2">
        <v>3</v>
      </c>
      <c r="CJ2" s="2">
        <v>38.4</v>
      </c>
      <c r="CK2" s="2">
        <v>2.133</v>
      </c>
    </row>
    <row r="3" spans="1:89" x14ac:dyDescent="0.35">
      <c r="A3" s="2" t="s">
        <v>513</v>
      </c>
      <c r="B3" s="2" t="s">
        <v>337</v>
      </c>
      <c r="C3" s="2">
        <v>8</v>
      </c>
      <c r="D3" s="2">
        <v>4</v>
      </c>
      <c r="E3" s="2">
        <v>32</v>
      </c>
      <c r="F3" s="2">
        <v>256</v>
      </c>
      <c r="G3" s="2">
        <v>10</v>
      </c>
      <c r="H3" s="2">
        <v>10</v>
      </c>
      <c r="I3" s="2">
        <v>64</v>
      </c>
      <c r="J3" s="2">
        <v>559.9</v>
      </c>
      <c r="K3" s="2">
        <v>375</v>
      </c>
      <c r="L3" s="2">
        <v>383.8</v>
      </c>
      <c r="M3" s="2">
        <v>0.67</v>
      </c>
      <c r="N3" s="2">
        <v>518.6</v>
      </c>
      <c r="O3" s="2">
        <v>10.3</v>
      </c>
      <c r="P3" s="2">
        <v>48</v>
      </c>
      <c r="Q3" s="2">
        <v>29.882000000000001</v>
      </c>
      <c r="R3" s="2">
        <v>29.975000000000001</v>
      </c>
      <c r="S3" s="2">
        <v>30.001999999999999</v>
      </c>
      <c r="T3" s="2">
        <v>29.832999999999998</v>
      </c>
      <c r="U3" s="2">
        <v>29.79</v>
      </c>
      <c r="V3" s="2">
        <v>95.08</v>
      </c>
      <c r="W3" s="2">
        <v>190.57</v>
      </c>
      <c r="X3" s="2">
        <v>376.63</v>
      </c>
      <c r="Y3" s="2">
        <v>746.93</v>
      </c>
      <c r="Z3" s="2">
        <v>202.35</v>
      </c>
      <c r="AA3" s="2">
        <v>47.54</v>
      </c>
      <c r="AB3" s="2">
        <v>47.64</v>
      </c>
      <c r="AC3" s="2">
        <v>47.08</v>
      </c>
      <c r="AD3" s="2">
        <v>46.68</v>
      </c>
      <c r="AE3" s="2">
        <v>47.43</v>
      </c>
      <c r="AF3" s="2">
        <v>99.04</v>
      </c>
      <c r="AG3" s="2">
        <v>99.25</v>
      </c>
      <c r="AH3" s="2">
        <v>98.08</v>
      </c>
      <c r="AI3" s="2">
        <v>97.26</v>
      </c>
      <c r="AJ3" s="2">
        <v>98.8</v>
      </c>
      <c r="AK3" s="2">
        <v>371.4</v>
      </c>
      <c r="AL3" s="2">
        <v>372.2</v>
      </c>
      <c r="AM3" s="2">
        <v>367.8</v>
      </c>
      <c r="AN3" s="2">
        <v>364.7</v>
      </c>
      <c r="AO3" s="2">
        <v>370.5</v>
      </c>
      <c r="AP3" s="2">
        <v>678.66</v>
      </c>
      <c r="AQ3" s="2">
        <v>339.36</v>
      </c>
      <c r="AR3" s="2">
        <v>172.37</v>
      </c>
      <c r="AS3" s="2">
        <v>86.76</v>
      </c>
      <c r="AT3" s="2">
        <v>319.82</v>
      </c>
      <c r="AU3" s="2">
        <v>3.18</v>
      </c>
      <c r="AV3" s="2">
        <v>6.36</v>
      </c>
      <c r="AW3" s="2">
        <v>12.55</v>
      </c>
      <c r="AX3" s="2">
        <v>25.04</v>
      </c>
      <c r="AY3" s="2">
        <v>6.79</v>
      </c>
      <c r="AZ3" s="2">
        <v>6.9139999999999997</v>
      </c>
      <c r="BA3" s="2">
        <v>7.1310000000000002</v>
      </c>
      <c r="BB3" s="2">
        <v>7.2220000000000004</v>
      </c>
      <c r="BC3" s="2">
        <v>7.14</v>
      </c>
      <c r="BD3" s="2">
        <v>7.0510000000000002</v>
      </c>
      <c r="BE3" s="2">
        <v>0.39</v>
      </c>
      <c r="BF3" s="2">
        <v>0.50700000000000001</v>
      </c>
      <c r="BG3" s="2">
        <v>0.626</v>
      </c>
      <c r="BH3" s="2">
        <v>0.63700000000000001</v>
      </c>
      <c r="BI3" s="2">
        <v>0.498</v>
      </c>
      <c r="BJ3" s="2">
        <v>42.677999999999997</v>
      </c>
      <c r="BK3" s="2">
        <v>84.864000000000004</v>
      </c>
      <c r="BL3" s="2">
        <v>168.41900000000001</v>
      </c>
      <c r="BM3" s="2">
        <v>331.85899999999998</v>
      </c>
      <c r="BN3" s="2">
        <v>89.980999999999995</v>
      </c>
      <c r="BO3" s="2">
        <v>87.41</v>
      </c>
      <c r="BP3" s="2">
        <v>173.8</v>
      </c>
      <c r="BQ3" s="2">
        <v>344.92</v>
      </c>
      <c r="BR3" s="2">
        <v>679.65</v>
      </c>
      <c r="BS3" s="2">
        <v>184.28</v>
      </c>
      <c r="BT3" s="2">
        <v>2.3769999999999998</v>
      </c>
      <c r="BU3" s="2">
        <v>2.3820000000000001</v>
      </c>
      <c r="BV3" s="2">
        <v>2.3540000000000001</v>
      </c>
      <c r="BW3" s="2">
        <v>2.3340000000000001</v>
      </c>
      <c r="BX3" s="2">
        <v>2.371</v>
      </c>
      <c r="BY3" s="2">
        <v>1.591</v>
      </c>
      <c r="BZ3" s="2">
        <v>1.589</v>
      </c>
      <c r="CA3" s="2">
        <v>1.569</v>
      </c>
      <c r="CB3" s="2">
        <v>1.5649999999999999</v>
      </c>
      <c r="CC3" s="2">
        <v>1.5920000000000001</v>
      </c>
      <c r="CD3" s="2">
        <v>71.31</v>
      </c>
      <c r="CE3" s="2">
        <v>71.459999999999994</v>
      </c>
      <c r="CF3" s="2">
        <v>70.62</v>
      </c>
      <c r="CG3" s="2">
        <v>70.02</v>
      </c>
      <c r="CH3" s="2">
        <v>71.14</v>
      </c>
      <c r="CI3" s="2">
        <v>6</v>
      </c>
      <c r="CJ3" s="2">
        <v>72</v>
      </c>
      <c r="CK3" s="2">
        <v>2.4</v>
      </c>
    </row>
    <row r="4" spans="1:89" x14ac:dyDescent="0.35">
      <c r="A4" s="2" t="s">
        <v>514</v>
      </c>
      <c r="B4" s="2" t="s">
        <v>332</v>
      </c>
      <c r="C4" s="2">
        <v>16</v>
      </c>
      <c r="D4" s="2">
        <v>3</v>
      </c>
      <c r="E4" s="2">
        <v>48</v>
      </c>
      <c r="F4" s="2">
        <v>384</v>
      </c>
      <c r="G4" s="2">
        <v>13</v>
      </c>
      <c r="H4" s="2">
        <v>13</v>
      </c>
      <c r="I4" s="2">
        <v>96</v>
      </c>
      <c r="J4" s="2">
        <v>501.8</v>
      </c>
      <c r="K4" s="2">
        <v>350</v>
      </c>
      <c r="L4" s="2">
        <v>351</v>
      </c>
      <c r="M4" s="2">
        <v>0.69699999999999995</v>
      </c>
      <c r="N4" s="2">
        <v>595.6</v>
      </c>
      <c r="O4" s="2">
        <v>22.1</v>
      </c>
      <c r="P4" s="2">
        <v>67.2</v>
      </c>
      <c r="Q4" s="2">
        <v>32.229999999999997</v>
      </c>
      <c r="R4" s="2">
        <v>31.925999999999998</v>
      </c>
      <c r="S4" s="2">
        <v>32.340000000000003</v>
      </c>
      <c r="T4" s="2">
        <v>32.448999999999998</v>
      </c>
      <c r="U4" s="2">
        <v>32.234999999999999</v>
      </c>
      <c r="V4" s="2">
        <v>131.22999999999999</v>
      </c>
      <c r="W4" s="2">
        <v>261.11</v>
      </c>
      <c r="X4" s="2">
        <v>519.6</v>
      </c>
      <c r="Y4" s="2">
        <v>1027.03</v>
      </c>
      <c r="Z4" s="2">
        <v>270.27</v>
      </c>
      <c r="AA4" s="2">
        <v>66.37</v>
      </c>
      <c r="AB4" s="2">
        <v>66.03</v>
      </c>
      <c r="AC4" s="2">
        <v>65.69</v>
      </c>
      <c r="AD4" s="2">
        <v>64.930000000000007</v>
      </c>
      <c r="AE4" s="2">
        <v>66.2</v>
      </c>
      <c r="AF4" s="2">
        <v>98.76</v>
      </c>
      <c r="AG4" s="2">
        <v>98.25</v>
      </c>
      <c r="AH4" s="2">
        <v>97.76</v>
      </c>
      <c r="AI4" s="2">
        <v>96.62</v>
      </c>
      <c r="AJ4" s="2">
        <v>98.51</v>
      </c>
      <c r="AK4" s="2">
        <v>345.7</v>
      </c>
      <c r="AL4" s="2">
        <v>343.9</v>
      </c>
      <c r="AM4" s="2">
        <v>342.2</v>
      </c>
      <c r="AN4" s="2">
        <v>338.2</v>
      </c>
      <c r="AO4" s="2">
        <v>344.8</v>
      </c>
      <c r="AP4" s="2">
        <v>525.76</v>
      </c>
      <c r="AQ4" s="2">
        <v>261.60000000000002</v>
      </c>
      <c r="AR4" s="2">
        <v>133.22999999999999</v>
      </c>
      <c r="AS4" s="2">
        <v>67.59</v>
      </c>
      <c r="AT4" s="2">
        <v>248.58</v>
      </c>
      <c r="AU4" s="2">
        <v>4.07</v>
      </c>
      <c r="AV4" s="2">
        <v>8.18</v>
      </c>
      <c r="AW4" s="2">
        <v>16.07</v>
      </c>
      <c r="AX4" s="2">
        <v>31.65</v>
      </c>
      <c r="AY4" s="2">
        <v>8.3800000000000008</v>
      </c>
      <c r="AZ4" s="2">
        <v>7.7850000000000001</v>
      </c>
      <c r="BA4" s="2">
        <v>7.835</v>
      </c>
      <c r="BB4" s="2">
        <v>7.8529999999999998</v>
      </c>
      <c r="BC4" s="2">
        <v>7.8289999999999997</v>
      </c>
      <c r="BD4" s="2">
        <v>7.7939999999999996</v>
      </c>
      <c r="BE4" s="2">
        <v>0.60599999999999998</v>
      </c>
      <c r="BF4" s="2">
        <v>0.69299999999999995</v>
      </c>
      <c r="BG4" s="2">
        <v>0.71299999999999997</v>
      </c>
      <c r="BH4" s="2">
        <v>0.66600000000000004</v>
      </c>
      <c r="BI4" s="2">
        <v>0.72299999999999998</v>
      </c>
      <c r="BJ4" s="2">
        <v>58.720999999999997</v>
      </c>
      <c r="BK4" s="2">
        <v>117.98</v>
      </c>
      <c r="BL4" s="2">
        <v>231.30699999999999</v>
      </c>
      <c r="BM4" s="2">
        <v>460.48</v>
      </c>
      <c r="BN4" s="2">
        <v>123.051</v>
      </c>
      <c r="BO4" s="2">
        <v>120.26</v>
      </c>
      <c r="BP4" s="2">
        <v>241.62</v>
      </c>
      <c r="BQ4" s="2">
        <v>473.72</v>
      </c>
      <c r="BR4" s="2">
        <v>943.06</v>
      </c>
      <c r="BS4" s="2">
        <v>252.01</v>
      </c>
      <c r="BT4" s="2">
        <v>2.5529999999999999</v>
      </c>
      <c r="BU4" s="2">
        <v>2.5390000000000001</v>
      </c>
      <c r="BV4" s="2">
        <v>2.5270000000000001</v>
      </c>
      <c r="BW4" s="2">
        <v>2.4969999999999999</v>
      </c>
      <c r="BX4" s="2">
        <v>2.5459999999999998</v>
      </c>
      <c r="BY4" s="2">
        <v>2.0590000000000002</v>
      </c>
      <c r="BZ4" s="2">
        <v>2.0680000000000001</v>
      </c>
      <c r="CA4" s="2">
        <v>2.0310000000000001</v>
      </c>
      <c r="CB4" s="2">
        <v>2.0009999999999999</v>
      </c>
      <c r="CC4" s="2">
        <v>2.0539999999999998</v>
      </c>
      <c r="CD4" s="2">
        <v>88.49</v>
      </c>
      <c r="CE4" s="2">
        <v>88.04</v>
      </c>
      <c r="CF4" s="2">
        <v>87.59</v>
      </c>
      <c r="CG4" s="2">
        <v>86.57</v>
      </c>
      <c r="CH4" s="2">
        <v>88.26</v>
      </c>
      <c r="CI4" s="2">
        <v>8</v>
      </c>
      <c r="CJ4" s="2">
        <v>89.6</v>
      </c>
      <c r="CK4" s="2">
        <v>2.585</v>
      </c>
    </row>
    <row r="5" spans="1:89" x14ac:dyDescent="0.35">
      <c r="A5" s="2" t="s">
        <v>515</v>
      </c>
      <c r="B5" s="2" t="s">
        <v>314</v>
      </c>
      <c r="C5" s="2">
        <v>8</v>
      </c>
      <c r="D5" s="2">
        <v>8</v>
      </c>
      <c r="E5" s="2">
        <v>64</v>
      </c>
      <c r="F5" s="2">
        <v>512</v>
      </c>
      <c r="G5" s="2">
        <v>17</v>
      </c>
      <c r="H5" s="2">
        <v>17</v>
      </c>
      <c r="I5" s="2">
        <v>128</v>
      </c>
      <c r="J5" s="2">
        <v>448.6</v>
      </c>
      <c r="K5" s="2">
        <v>325</v>
      </c>
      <c r="L5" s="2">
        <v>325.10000000000002</v>
      </c>
      <c r="M5" s="2">
        <v>0.72399999999999998</v>
      </c>
      <c r="N5" s="2">
        <v>799.1</v>
      </c>
      <c r="O5" s="2">
        <v>12.4</v>
      </c>
      <c r="P5" s="2">
        <v>83.2</v>
      </c>
      <c r="Q5" s="2">
        <v>36.408999999999999</v>
      </c>
      <c r="R5" s="2">
        <v>35.396000000000001</v>
      </c>
      <c r="S5" s="2">
        <v>36.606000000000002</v>
      </c>
      <c r="T5" s="2">
        <v>35.826999999999998</v>
      </c>
      <c r="U5" s="2">
        <v>36.286000000000001</v>
      </c>
      <c r="V5" s="2">
        <v>164.69</v>
      </c>
      <c r="W5" s="2">
        <v>329.63</v>
      </c>
      <c r="X5" s="2">
        <v>654.52</v>
      </c>
      <c r="Y5" s="2">
        <v>1291.33</v>
      </c>
      <c r="Z5" s="2">
        <v>350.93</v>
      </c>
      <c r="AA5" s="2">
        <v>82.35</v>
      </c>
      <c r="AB5" s="2">
        <v>82.41</v>
      </c>
      <c r="AC5" s="2">
        <v>81.81</v>
      </c>
      <c r="AD5" s="2">
        <v>80.709999999999994</v>
      </c>
      <c r="AE5" s="2">
        <v>82.25</v>
      </c>
      <c r="AF5" s="2">
        <v>98.97</v>
      </c>
      <c r="AG5" s="2">
        <v>99.05</v>
      </c>
      <c r="AH5" s="2">
        <v>98.33</v>
      </c>
      <c r="AI5" s="2">
        <v>97.01</v>
      </c>
      <c r="AJ5" s="2">
        <v>98.86</v>
      </c>
      <c r="AK5" s="2">
        <v>321.7</v>
      </c>
      <c r="AL5" s="2">
        <v>321.89999999999998</v>
      </c>
      <c r="AM5" s="2">
        <v>319.60000000000002</v>
      </c>
      <c r="AN5" s="2">
        <v>315.3</v>
      </c>
      <c r="AO5" s="2">
        <v>321.3</v>
      </c>
      <c r="AP5" s="2">
        <v>483.85</v>
      </c>
      <c r="AQ5" s="2">
        <v>237.31</v>
      </c>
      <c r="AR5" s="2">
        <v>123.42</v>
      </c>
      <c r="AS5" s="2">
        <v>61.05</v>
      </c>
      <c r="AT5" s="2">
        <v>227.77</v>
      </c>
      <c r="AU5" s="2">
        <v>4.5199999999999996</v>
      </c>
      <c r="AV5" s="2">
        <v>9.31</v>
      </c>
      <c r="AW5" s="2">
        <v>17.88</v>
      </c>
      <c r="AX5" s="2">
        <v>36.04</v>
      </c>
      <c r="AY5" s="2">
        <v>9.67</v>
      </c>
      <c r="AZ5" s="2">
        <v>8.3209999999999997</v>
      </c>
      <c r="BA5" s="2">
        <v>8.3059999999999992</v>
      </c>
      <c r="BB5" s="2">
        <v>8.3330000000000002</v>
      </c>
      <c r="BC5" s="2">
        <v>8.3780000000000001</v>
      </c>
      <c r="BD5" s="2">
        <v>8.32</v>
      </c>
      <c r="BE5" s="2">
        <v>0.81899999999999995</v>
      </c>
      <c r="BF5" s="2">
        <v>0.81200000000000006</v>
      </c>
      <c r="BG5" s="2">
        <v>0.81899999999999995</v>
      </c>
      <c r="BH5" s="2">
        <v>0.85399999999999998</v>
      </c>
      <c r="BI5" s="2">
        <v>0.71599999999999997</v>
      </c>
      <c r="BJ5" s="2">
        <v>71.278000000000006</v>
      </c>
      <c r="BK5" s="2">
        <v>143.333</v>
      </c>
      <c r="BL5" s="2">
        <v>286.43400000000003</v>
      </c>
      <c r="BM5" s="2">
        <v>559.72500000000002</v>
      </c>
      <c r="BN5" s="2">
        <v>150.72999999999999</v>
      </c>
      <c r="BO5" s="2">
        <v>145.97999999999999</v>
      </c>
      <c r="BP5" s="2">
        <v>293.55</v>
      </c>
      <c r="BQ5" s="2">
        <v>586.62</v>
      </c>
      <c r="BR5" s="2">
        <v>1146.32</v>
      </c>
      <c r="BS5" s="2">
        <v>308.69</v>
      </c>
      <c r="BT5" s="2">
        <v>2.4220000000000002</v>
      </c>
      <c r="BU5" s="2">
        <v>2.4239999999999999</v>
      </c>
      <c r="BV5" s="2">
        <v>2.4060000000000001</v>
      </c>
      <c r="BW5" s="2">
        <v>2.3740000000000001</v>
      </c>
      <c r="BX5" s="2">
        <v>2.419</v>
      </c>
      <c r="BY5" s="2">
        <v>2.262</v>
      </c>
      <c r="BZ5" s="2">
        <v>2.3279999999999998</v>
      </c>
      <c r="CA5" s="2">
        <v>2.2349999999999999</v>
      </c>
      <c r="CB5" s="2">
        <v>2.2530000000000001</v>
      </c>
      <c r="CC5" s="2">
        <v>2.2669999999999999</v>
      </c>
      <c r="CD5" s="2">
        <v>113.23</v>
      </c>
      <c r="CE5" s="2">
        <v>113.31</v>
      </c>
      <c r="CF5" s="2">
        <v>112.5</v>
      </c>
      <c r="CG5" s="2">
        <v>110.97</v>
      </c>
      <c r="CH5" s="2">
        <v>113.09</v>
      </c>
      <c r="CI5" s="2">
        <v>11</v>
      </c>
      <c r="CJ5" s="2">
        <v>114.4</v>
      </c>
      <c r="CK5" s="2">
        <v>2.4470000000000001</v>
      </c>
    </row>
    <row r="6" spans="1:89" x14ac:dyDescent="0.35">
      <c r="A6" s="2" t="s">
        <v>516</v>
      </c>
      <c r="B6" s="2" t="s">
        <v>329</v>
      </c>
      <c r="C6" s="2">
        <v>4</v>
      </c>
      <c r="D6" s="2">
        <v>24</v>
      </c>
      <c r="E6" s="2">
        <v>96</v>
      </c>
      <c r="F6" s="2">
        <v>768</v>
      </c>
      <c r="G6" s="2">
        <v>24</v>
      </c>
      <c r="H6" s="2">
        <v>24</v>
      </c>
      <c r="I6" s="2">
        <v>192</v>
      </c>
      <c r="J6" s="2">
        <v>407.3</v>
      </c>
      <c r="K6" s="2">
        <v>300</v>
      </c>
      <c r="L6" s="2">
        <v>300.2</v>
      </c>
      <c r="M6" s="2">
        <v>0.73699999999999999</v>
      </c>
      <c r="N6" s="2">
        <v>1111.7</v>
      </c>
      <c r="O6" s="2">
        <v>30.4</v>
      </c>
      <c r="P6" s="2">
        <v>115.2</v>
      </c>
      <c r="Q6" s="2">
        <v>39.652999999999999</v>
      </c>
      <c r="R6" s="2">
        <v>39.94</v>
      </c>
      <c r="S6" s="2">
        <v>39.963999999999999</v>
      </c>
      <c r="T6" s="2">
        <v>38.963000000000001</v>
      </c>
      <c r="U6" s="2">
        <v>40.43</v>
      </c>
      <c r="V6" s="2">
        <v>223.58</v>
      </c>
      <c r="W6" s="2">
        <v>443.29</v>
      </c>
      <c r="X6" s="2">
        <v>885.87</v>
      </c>
      <c r="Y6" s="2">
        <v>1744.68</v>
      </c>
      <c r="Z6" s="2">
        <v>445.58</v>
      </c>
      <c r="AA6" s="2">
        <v>114.51</v>
      </c>
      <c r="AB6" s="2">
        <v>113.52</v>
      </c>
      <c r="AC6" s="2">
        <v>113.43</v>
      </c>
      <c r="AD6" s="2">
        <v>111.69</v>
      </c>
      <c r="AE6" s="2">
        <v>114.05</v>
      </c>
      <c r="AF6" s="2">
        <v>99.4</v>
      </c>
      <c r="AG6" s="2">
        <v>98.54</v>
      </c>
      <c r="AH6" s="2">
        <v>98.46</v>
      </c>
      <c r="AI6" s="2">
        <v>96.96</v>
      </c>
      <c r="AJ6" s="2">
        <v>99</v>
      </c>
      <c r="AK6" s="2">
        <v>298.2</v>
      </c>
      <c r="AL6" s="2">
        <v>295.60000000000002</v>
      </c>
      <c r="AM6" s="2">
        <v>295.39999999999998</v>
      </c>
      <c r="AN6" s="2">
        <v>290.89999999999998</v>
      </c>
      <c r="AO6" s="2">
        <v>297</v>
      </c>
      <c r="AP6" s="2">
        <v>383.2</v>
      </c>
      <c r="AQ6" s="2">
        <v>193.96</v>
      </c>
      <c r="AR6" s="2">
        <v>98.25</v>
      </c>
      <c r="AS6" s="2">
        <v>48.72</v>
      </c>
      <c r="AT6" s="2">
        <v>187.85</v>
      </c>
      <c r="AU6" s="2">
        <v>5.64</v>
      </c>
      <c r="AV6" s="2">
        <v>11.1</v>
      </c>
      <c r="AW6" s="2">
        <v>22.17</v>
      </c>
      <c r="AX6" s="2">
        <v>44.78</v>
      </c>
      <c r="AY6" s="2">
        <v>11.02</v>
      </c>
      <c r="AZ6" s="2">
        <v>9.2759999999999998</v>
      </c>
      <c r="BA6" s="2">
        <v>9.4469999999999992</v>
      </c>
      <c r="BB6" s="2">
        <v>9.4580000000000002</v>
      </c>
      <c r="BC6" s="2">
        <v>9.4390000000000001</v>
      </c>
      <c r="BD6" s="2">
        <v>9.3510000000000009</v>
      </c>
      <c r="BE6" s="2">
        <v>1.006</v>
      </c>
      <c r="BF6" s="2">
        <v>1.101</v>
      </c>
      <c r="BG6" s="2">
        <v>1.2170000000000001</v>
      </c>
      <c r="BH6" s="2">
        <v>1.173</v>
      </c>
      <c r="BI6" s="2">
        <v>1.0389999999999999</v>
      </c>
      <c r="BJ6" s="2">
        <v>96.801000000000002</v>
      </c>
      <c r="BK6" s="2">
        <v>192.92699999999999</v>
      </c>
      <c r="BL6" s="2">
        <v>379.85700000000003</v>
      </c>
      <c r="BM6" s="2">
        <v>751.36</v>
      </c>
      <c r="BN6" s="2">
        <v>205.59299999999999</v>
      </c>
      <c r="BO6" s="2">
        <v>198.25</v>
      </c>
      <c r="BP6" s="2">
        <v>395.11</v>
      </c>
      <c r="BQ6" s="2">
        <v>777.95</v>
      </c>
      <c r="BR6" s="2">
        <v>1538.79</v>
      </c>
      <c r="BS6" s="2">
        <v>421.05</v>
      </c>
      <c r="BT6" s="2">
        <v>2.3860000000000001</v>
      </c>
      <c r="BU6" s="2">
        <v>2.3650000000000002</v>
      </c>
      <c r="BV6" s="2">
        <v>2.363</v>
      </c>
      <c r="BW6" s="2">
        <v>2.327</v>
      </c>
      <c r="BX6" s="2">
        <v>2.3759999999999999</v>
      </c>
      <c r="BY6" s="2">
        <v>2.8879999999999999</v>
      </c>
      <c r="BZ6" s="2">
        <v>2.8420000000000001</v>
      </c>
      <c r="CA6" s="2">
        <v>2.8380000000000001</v>
      </c>
      <c r="CB6" s="2">
        <v>2.867</v>
      </c>
      <c r="CC6" s="2">
        <v>2.8210000000000002</v>
      </c>
      <c r="CD6" s="2">
        <v>152.68</v>
      </c>
      <c r="CE6" s="2">
        <v>151.35</v>
      </c>
      <c r="CF6" s="2">
        <v>151.22999999999999</v>
      </c>
      <c r="CG6" s="2">
        <v>148.91999999999999</v>
      </c>
      <c r="CH6" s="2">
        <v>152.06</v>
      </c>
      <c r="CI6" s="2">
        <v>16</v>
      </c>
      <c r="CJ6" s="2">
        <v>153.6</v>
      </c>
      <c r="CK6" s="2">
        <v>2.4</v>
      </c>
    </row>
    <row r="7" spans="1:89" x14ac:dyDescent="0.35">
      <c r="A7" s="2" t="s">
        <v>517</v>
      </c>
      <c r="B7" s="2" t="s">
        <v>325</v>
      </c>
      <c r="C7" s="2">
        <v>4</v>
      </c>
      <c r="D7" s="2">
        <v>32</v>
      </c>
      <c r="E7" s="2">
        <v>128</v>
      </c>
      <c r="F7" s="3">
        <v>1024</v>
      </c>
      <c r="G7" s="2">
        <v>32</v>
      </c>
      <c r="H7" s="2">
        <v>32</v>
      </c>
      <c r="I7" s="2">
        <v>256</v>
      </c>
      <c r="J7" s="2">
        <v>355.4</v>
      </c>
      <c r="K7" s="2">
        <v>250</v>
      </c>
      <c r="L7" s="2">
        <v>250.1</v>
      </c>
      <c r="M7" s="2">
        <v>0.70299999999999996</v>
      </c>
      <c r="N7" s="2">
        <v>1512.2</v>
      </c>
      <c r="O7" s="2">
        <v>24.4</v>
      </c>
      <c r="P7" s="2">
        <v>128</v>
      </c>
      <c r="Q7" s="2">
        <v>41.750999999999998</v>
      </c>
      <c r="R7" s="2">
        <v>41.744</v>
      </c>
      <c r="S7" s="2">
        <v>41.762</v>
      </c>
      <c r="T7" s="2">
        <v>41.651000000000003</v>
      </c>
      <c r="U7" s="2">
        <v>42.271000000000001</v>
      </c>
      <c r="V7" s="2">
        <v>254.8</v>
      </c>
      <c r="W7" s="2">
        <v>508.75</v>
      </c>
      <c r="X7" s="2">
        <v>1010.99</v>
      </c>
      <c r="Y7" s="2">
        <v>1996.49</v>
      </c>
      <c r="Z7" s="2">
        <v>515.35</v>
      </c>
      <c r="AA7" s="2">
        <v>127.4</v>
      </c>
      <c r="AB7" s="2">
        <v>127.19</v>
      </c>
      <c r="AC7" s="2">
        <v>126.37</v>
      </c>
      <c r="AD7" s="2">
        <v>124.78</v>
      </c>
      <c r="AE7" s="2">
        <v>127.27</v>
      </c>
      <c r="AF7" s="2">
        <v>99.53</v>
      </c>
      <c r="AG7" s="2">
        <v>99.37</v>
      </c>
      <c r="AH7" s="2">
        <v>98.73</v>
      </c>
      <c r="AI7" s="2">
        <v>97.48</v>
      </c>
      <c r="AJ7" s="2">
        <v>99.43</v>
      </c>
      <c r="AK7" s="2">
        <v>248.8</v>
      </c>
      <c r="AL7" s="2">
        <v>248.4</v>
      </c>
      <c r="AM7" s="2">
        <v>246.8</v>
      </c>
      <c r="AN7" s="2">
        <v>243.7</v>
      </c>
      <c r="AO7" s="2">
        <v>248.6</v>
      </c>
      <c r="AP7" s="2">
        <v>369.57</v>
      </c>
      <c r="AQ7" s="2">
        <v>184.95</v>
      </c>
      <c r="AR7" s="2">
        <v>93.24</v>
      </c>
      <c r="AS7" s="2">
        <v>47.16</v>
      </c>
      <c r="AT7" s="2">
        <v>177.52</v>
      </c>
      <c r="AU7" s="2">
        <v>6.1</v>
      </c>
      <c r="AV7" s="2">
        <v>12.19</v>
      </c>
      <c r="AW7" s="2">
        <v>24.21</v>
      </c>
      <c r="AX7" s="2">
        <v>47.93</v>
      </c>
      <c r="AY7" s="2">
        <v>12.19</v>
      </c>
      <c r="AZ7" s="2">
        <v>10.047000000000001</v>
      </c>
      <c r="BA7" s="2">
        <v>10.077</v>
      </c>
      <c r="BB7" s="2">
        <v>10.223000000000001</v>
      </c>
      <c r="BC7" s="2">
        <v>10.242000000000001</v>
      </c>
      <c r="BD7" s="2">
        <v>10.132</v>
      </c>
      <c r="BE7" s="2">
        <v>1.5289999999999999</v>
      </c>
      <c r="BF7" s="2">
        <v>1.4379999999999999</v>
      </c>
      <c r="BG7" s="2">
        <v>1.595</v>
      </c>
      <c r="BH7" s="2">
        <v>1.6140000000000001</v>
      </c>
      <c r="BI7" s="2">
        <v>1.4830000000000001</v>
      </c>
      <c r="BJ7" s="2">
        <v>105.483</v>
      </c>
      <c r="BK7" s="2">
        <v>211.56700000000001</v>
      </c>
      <c r="BL7" s="2">
        <v>420.85199999999998</v>
      </c>
      <c r="BM7" s="2">
        <v>830.73400000000004</v>
      </c>
      <c r="BN7" s="2">
        <v>222.25</v>
      </c>
      <c r="BO7" s="2">
        <v>216.03</v>
      </c>
      <c r="BP7" s="2">
        <v>433.29</v>
      </c>
      <c r="BQ7" s="2">
        <v>861.91</v>
      </c>
      <c r="BR7" s="2">
        <v>1701.34</v>
      </c>
      <c r="BS7" s="2">
        <v>455.17</v>
      </c>
      <c r="BT7" s="2">
        <v>1.9910000000000001</v>
      </c>
      <c r="BU7" s="2">
        <v>1.9870000000000001</v>
      </c>
      <c r="BV7" s="2">
        <v>1.9750000000000001</v>
      </c>
      <c r="BW7" s="2">
        <v>1.95</v>
      </c>
      <c r="BX7" s="2">
        <v>1.9890000000000001</v>
      </c>
      <c r="BY7" s="2">
        <v>3.0510000000000002</v>
      </c>
      <c r="BZ7" s="2">
        <v>3.0470000000000002</v>
      </c>
      <c r="CA7" s="2">
        <v>3.0259999999999998</v>
      </c>
      <c r="CB7" s="2">
        <v>2.996</v>
      </c>
      <c r="CC7" s="2">
        <v>3.0110000000000001</v>
      </c>
      <c r="CD7" s="2">
        <v>175.18</v>
      </c>
      <c r="CE7" s="2">
        <v>174.88</v>
      </c>
      <c r="CF7" s="2">
        <v>173.76</v>
      </c>
      <c r="CG7" s="2">
        <v>171.57</v>
      </c>
      <c r="CH7" s="2">
        <v>175</v>
      </c>
      <c r="CI7" s="2">
        <v>22</v>
      </c>
      <c r="CJ7" s="2">
        <v>176</v>
      </c>
      <c r="CK7" s="2">
        <v>2</v>
      </c>
    </row>
  </sheetData>
  <autoFilter ref="A1:BS7" xr:uid="{00000000-0009-0000-0000-00000D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5F1E-40BC-4A41-8429-6C845E8868C8}">
  <dimension ref="A1:BS11"/>
  <sheetViews>
    <sheetView zoomScale="40" zoomScaleNormal="40" workbookViewId="0">
      <pane ySplit="1" topLeftCell="A2" activePane="bottomLeft" state="frozen"/>
      <selection pane="bottomLeft" activeCell="N82" sqref="N82"/>
    </sheetView>
  </sheetViews>
  <sheetFormatPr defaultRowHeight="14.5" x14ac:dyDescent="0.35"/>
  <cols>
    <col min="1" max="2" width="10" customWidth="1"/>
    <col min="3" max="3" width="23" customWidth="1"/>
    <col min="4" max="4" width="11" customWidth="1"/>
    <col min="5" max="6" width="10" customWidth="1"/>
    <col min="7" max="7" width="14" customWidth="1"/>
    <col min="8" max="8" width="16" customWidth="1"/>
    <col min="9" max="9" width="13" customWidth="1"/>
    <col min="10" max="14" width="10" customWidth="1"/>
    <col min="15" max="15" width="11" customWidth="1"/>
    <col min="16" max="17" width="10" customWidth="1"/>
    <col min="18" max="18" width="12" customWidth="1"/>
    <col min="19" max="19" width="11" customWidth="1"/>
    <col min="20" max="20" width="21" customWidth="1"/>
    <col min="21" max="22" width="15" customWidth="1"/>
    <col min="23" max="23" width="26" customWidth="1"/>
    <col min="24" max="24" width="24" customWidth="1"/>
    <col min="25" max="25" width="15" customWidth="1"/>
    <col min="26" max="26" width="22" customWidth="1"/>
    <col min="27" max="27" width="20" customWidth="1"/>
    <col min="28" max="28" width="17" customWidth="1"/>
    <col min="29" max="29" width="12" customWidth="1"/>
    <col min="30" max="30" width="23" customWidth="1"/>
    <col min="31" max="31" width="10" customWidth="1"/>
    <col min="32" max="32" width="14" customWidth="1"/>
    <col min="33" max="33" width="13" customWidth="1"/>
    <col min="34" max="34" width="14" customWidth="1"/>
    <col min="35" max="35" width="17" customWidth="1"/>
    <col min="36" max="36" width="10" customWidth="1"/>
    <col min="37" max="37" width="13" customWidth="1"/>
    <col min="38" max="38" width="10" customWidth="1"/>
    <col min="39" max="39" width="11" customWidth="1"/>
    <col min="40" max="40" width="10" customWidth="1"/>
    <col min="41" max="41" width="12" customWidth="1"/>
    <col min="42" max="43" width="10" customWidth="1"/>
    <col min="44" max="44" width="11" customWidth="1"/>
    <col min="45" max="45" width="12" customWidth="1"/>
    <col min="46" max="47" width="10" customWidth="1"/>
    <col min="48" max="48" width="11" customWidth="1"/>
    <col min="49" max="49" width="12" customWidth="1"/>
    <col min="50" max="50" width="18" customWidth="1"/>
    <col min="51" max="51" width="12" customWidth="1"/>
    <col min="52" max="54" width="10" customWidth="1"/>
    <col min="55" max="57" width="11" customWidth="1"/>
    <col min="58" max="58" width="15" customWidth="1"/>
    <col min="59" max="61" width="10" customWidth="1"/>
    <col min="62" max="62" width="11" customWidth="1"/>
    <col min="63" max="64" width="15" customWidth="1"/>
    <col min="65" max="66" width="18" customWidth="1"/>
    <col min="67" max="67" width="12" customWidth="1"/>
    <col min="68" max="69" width="17" customWidth="1"/>
    <col min="70" max="70" width="29" customWidth="1"/>
    <col min="71" max="71" width="30" customWidth="1"/>
  </cols>
  <sheetData>
    <row r="1" spans="1:71" ht="30" customHeight="1" x14ac:dyDescent="0.35">
      <c r="A1" s="1" t="s">
        <v>290</v>
      </c>
      <c r="B1" s="1" t="s">
        <v>356</v>
      </c>
      <c r="C1" s="1" t="s">
        <v>367</v>
      </c>
      <c r="D1" s="1" t="s">
        <v>368</v>
      </c>
      <c r="E1" s="1" t="s">
        <v>291</v>
      </c>
      <c r="F1" s="1" t="s">
        <v>292</v>
      </c>
      <c r="G1" s="1" t="s">
        <v>294</v>
      </c>
      <c r="H1" s="1" t="s">
        <v>295</v>
      </c>
      <c r="I1" s="1" t="s">
        <v>369</v>
      </c>
      <c r="J1" s="1" t="s">
        <v>354</v>
      </c>
      <c r="K1" s="1" t="s">
        <v>353</v>
      </c>
      <c r="L1" s="1" t="s">
        <v>352</v>
      </c>
      <c r="M1" s="1" t="s">
        <v>351</v>
      </c>
      <c r="N1" s="1" t="s">
        <v>350</v>
      </c>
      <c r="O1" s="1" t="s">
        <v>370</v>
      </c>
      <c r="P1" s="1" t="s">
        <v>349</v>
      </c>
      <c r="Q1" s="1" t="s">
        <v>348</v>
      </c>
      <c r="R1" s="1" t="s">
        <v>371</v>
      </c>
      <c r="S1" s="1" t="s">
        <v>299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  <c r="AP1" s="1" t="s">
        <v>394</v>
      </c>
      <c r="AQ1" s="1" t="s">
        <v>395</v>
      </c>
      <c r="AR1" s="1" t="s">
        <v>396</v>
      </c>
      <c r="AS1" s="1" t="s">
        <v>397</v>
      </c>
      <c r="AT1" s="1" t="s">
        <v>398</v>
      </c>
      <c r="AU1" s="1" t="s">
        <v>399</v>
      </c>
      <c r="AV1" s="1" t="s">
        <v>400</v>
      </c>
      <c r="AW1" s="1" t="s">
        <v>401</v>
      </c>
      <c r="AX1" s="1" t="s">
        <v>402</v>
      </c>
      <c r="AY1" s="1" t="s">
        <v>403</v>
      </c>
      <c r="AZ1" s="1" t="s">
        <v>404</v>
      </c>
      <c r="BA1" s="1" t="s">
        <v>405</v>
      </c>
      <c r="BB1" s="1" t="s">
        <v>406</v>
      </c>
      <c r="BC1" s="1" t="s">
        <v>407</v>
      </c>
      <c r="BD1" s="1" t="s">
        <v>408</v>
      </c>
      <c r="BE1" s="1" t="s">
        <v>409</v>
      </c>
      <c r="BF1" s="1" t="s">
        <v>410</v>
      </c>
      <c r="BG1" s="1" t="s">
        <v>411</v>
      </c>
      <c r="BH1" s="1" t="s">
        <v>412</v>
      </c>
      <c r="BI1" s="1" t="s">
        <v>413</v>
      </c>
      <c r="BJ1" s="1" t="s">
        <v>414</v>
      </c>
      <c r="BK1" s="1" t="s">
        <v>415</v>
      </c>
      <c r="BL1" s="1" t="s">
        <v>416</v>
      </c>
      <c r="BM1" s="1" t="s">
        <v>417</v>
      </c>
      <c r="BN1" s="1" t="s">
        <v>418</v>
      </c>
      <c r="BO1" s="1" t="s">
        <v>345</v>
      </c>
      <c r="BP1" s="1" t="s">
        <v>419</v>
      </c>
      <c r="BQ1" s="1" t="s">
        <v>420</v>
      </c>
      <c r="BR1" s="1" t="s">
        <v>421</v>
      </c>
      <c r="BS1" s="1" t="s">
        <v>422</v>
      </c>
    </row>
    <row r="2" spans="1:71" x14ac:dyDescent="0.35">
      <c r="A2" s="2" t="s">
        <v>342</v>
      </c>
      <c r="B2" s="2" t="s">
        <v>339</v>
      </c>
      <c r="C2" s="2" t="s">
        <v>423</v>
      </c>
      <c r="D2" s="2" t="s">
        <v>129</v>
      </c>
      <c r="E2" s="2">
        <v>4</v>
      </c>
      <c r="F2" s="2">
        <v>4</v>
      </c>
      <c r="G2" s="2">
        <v>16</v>
      </c>
      <c r="H2" s="2">
        <v>32</v>
      </c>
      <c r="I2" s="2">
        <v>128</v>
      </c>
      <c r="J2" s="2">
        <v>6</v>
      </c>
      <c r="K2" s="2">
        <v>2</v>
      </c>
      <c r="L2" s="2">
        <v>1</v>
      </c>
      <c r="M2" s="2">
        <v>2</v>
      </c>
      <c r="N2" s="2">
        <v>1</v>
      </c>
      <c r="O2" s="2">
        <v>26</v>
      </c>
      <c r="P2" s="2">
        <v>8</v>
      </c>
      <c r="Q2" s="2">
        <v>160</v>
      </c>
      <c r="R2" s="2">
        <v>400</v>
      </c>
      <c r="S2" s="2">
        <v>2.5</v>
      </c>
      <c r="T2" s="2" t="s">
        <v>424</v>
      </c>
      <c r="U2" s="2">
        <v>2.1999999999999999E-2</v>
      </c>
      <c r="V2" s="2">
        <v>0</v>
      </c>
      <c r="W2" s="2">
        <v>0</v>
      </c>
      <c r="X2" s="3">
        <v>120197</v>
      </c>
      <c r="Y2" s="2">
        <v>0.01</v>
      </c>
      <c r="Z2" s="2">
        <v>2.1999999999999999E-2</v>
      </c>
      <c r="AA2" s="2">
        <v>0</v>
      </c>
      <c r="AB2" s="2">
        <v>0</v>
      </c>
      <c r="AC2" s="2">
        <v>0.109</v>
      </c>
      <c r="AD2" s="2">
        <v>0</v>
      </c>
      <c r="AE2" s="2" t="s">
        <v>425</v>
      </c>
      <c r="AF2" s="2">
        <v>403.6</v>
      </c>
      <c r="AG2" s="2" t="s">
        <v>426</v>
      </c>
      <c r="AH2" s="2">
        <v>619.6</v>
      </c>
      <c r="AI2" s="2">
        <v>0.64600000000000002</v>
      </c>
      <c r="AJ2" s="3">
        <v>17977</v>
      </c>
      <c r="AK2" s="3">
        <v>1440</v>
      </c>
      <c r="AL2" s="3">
        <v>22385</v>
      </c>
      <c r="AM2" s="2">
        <v>31</v>
      </c>
      <c r="AN2" s="2">
        <v>128</v>
      </c>
      <c r="AO2" s="2">
        <v>5</v>
      </c>
      <c r="AP2" s="3">
        <v>7641</v>
      </c>
      <c r="AQ2" s="3">
        <v>14177</v>
      </c>
      <c r="AR2" s="2">
        <v>68</v>
      </c>
      <c r="AS2" s="2">
        <v>1</v>
      </c>
      <c r="AT2" s="3">
        <v>2045</v>
      </c>
      <c r="AU2" s="3">
        <v>3173</v>
      </c>
      <c r="AV2" s="2">
        <v>16</v>
      </c>
      <c r="AW2" s="3">
        <v>9686</v>
      </c>
      <c r="AX2" s="2">
        <v>140.4</v>
      </c>
      <c r="AY2" s="2" t="s">
        <v>129</v>
      </c>
      <c r="AZ2" s="3">
        <v>52960</v>
      </c>
      <c r="BA2" s="3">
        <v>47666</v>
      </c>
      <c r="BB2" s="3">
        <v>35382</v>
      </c>
      <c r="BC2" s="2">
        <v>145</v>
      </c>
      <c r="BD2" s="2">
        <v>80.5</v>
      </c>
      <c r="BE2" s="2">
        <v>94</v>
      </c>
      <c r="BF2" s="2">
        <v>21.58</v>
      </c>
      <c r="BG2" s="2">
        <v>128</v>
      </c>
      <c r="BH2" s="2">
        <v>0</v>
      </c>
      <c r="BI2" s="2">
        <v>4</v>
      </c>
      <c r="BJ2" s="3">
        <v>6504</v>
      </c>
      <c r="BK2" s="3">
        <v>2535</v>
      </c>
      <c r="BL2" s="3">
        <v>3969</v>
      </c>
      <c r="BM2" s="3">
        <v>1141</v>
      </c>
      <c r="BN2" s="3">
        <v>1394</v>
      </c>
      <c r="BO2" s="2">
        <v>12.8</v>
      </c>
      <c r="BP2" s="2">
        <v>2.133</v>
      </c>
      <c r="BQ2" s="2">
        <v>21.33</v>
      </c>
      <c r="BR2" s="2" t="s">
        <v>427</v>
      </c>
    </row>
    <row r="3" spans="1:71" x14ac:dyDescent="0.35">
      <c r="A3" s="2" t="s">
        <v>337</v>
      </c>
      <c r="B3" s="2" t="s">
        <v>335</v>
      </c>
      <c r="C3" s="2" t="s">
        <v>423</v>
      </c>
      <c r="D3" s="2" t="s">
        <v>129</v>
      </c>
      <c r="E3" s="2">
        <v>8</v>
      </c>
      <c r="F3" s="2">
        <v>4</v>
      </c>
      <c r="G3" s="2">
        <v>32</v>
      </c>
      <c r="H3" s="2">
        <v>64</v>
      </c>
      <c r="I3" s="2">
        <v>256</v>
      </c>
      <c r="J3" s="2">
        <v>10</v>
      </c>
      <c r="K3" s="2">
        <v>4</v>
      </c>
      <c r="L3" s="2">
        <v>2</v>
      </c>
      <c r="M3" s="2">
        <v>2</v>
      </c>
      <c r="N3" s="2">
        <v>2</v>
      </c>
      <c r="O3" s="2">
        <v>22</v>
      </c>
      <c r="P3" s="2">
        <v>8</v>
      </c>
      <c r="Q3" s="2">
        <v>320</v>
      </c>
      <c r="R3" s="2">
        <v>375</v>
      </c>
      <c r="S3" s="2">
        <v>2.6667000000000001</v>
      </c>
      <c r="T3" s="2" t="s">
        <v>424</v>
      </c>
      <c r="U3" s="2">
        <v>6.0999999999999999E-2</v>
      </c>
      <c r="V3" s="2">
        <v>0</v>
      </c>
      <c r="W3" s="2">
        <v>0</v>
      </c>
      <c r="X3" s="3">
        <v>213537</v>
      </c>
      <c r="Y3" s="2">
        <v>0.01</v>
      </c>
      <c r="Z3" s="2">
        <v>6.0999999999999999E-2</v>
      </c>
      <c r="AA3" s="2">
        <v>0</v>
      </c>
      <c r="AB3" s="2">
        <v>0</v>
      </c>
      <c r="AC3" s="2">
        <v>0.122</v>
      </c>
      <c r="AD3" s="2">
        <v>0</v>
      </c>
      <c r="AE3" s="2" t="s">
        <v>425</v>
      </c>
      <c r="AF3" s="2">
        <v>383.8</v>
      </c>
      <c r="AG3" s="2" t="s">
        <v>426</v>
      </c>
      <c r="AH3" s="2">
        <v>559.9</v>
      </c>
      <c r="AI3" s="2">
        <v>0.67</v>
      </c>
      <c r="AJ3" s="3">
        <v>35438</v>
      </c>
      <c r="AK3" s="3">
        <v>2880</v>
      </c>
      <c r="AL3" s="3">
        <v>44103</v>
      </c>
      <c r="AM3" s="2">
        <v>45</v>
      </c>
      <c r="AN3" s="2">
        <v>256</v>
      </c>
      <c r="AO3" s="2">
        <v>8</v>
      </c>
      <c r="AP3" s="3">
        <v>11865</v>
      </c>
      <c r="AQ3" s="3">
        <v>21781</v>
      </c>
      <c r="AR3" s="2">
        <v>102</v>
      </c>
      <c r="AS3" s="2">
        <v>2</v>
      </c>
      <c r="AT3" s="3">
        <v>4066</v>
      </c>
      <c r="AU3" s="3">
        <v>6350</v>
      </c>
      <c r="AV3" s="2">
        <v>32</v>
      </c>
      <c r="AW3" s="3">
        <v>15931</v>
      </c>
      <c r="AX3" s="2">
        <v>138.4</v>
      </c>
      <c r="AY3" s="2" t="s">
        <v>129</v>
      </c>
      <c r="AZ3" s="3">
        <v>81921</v>
      </c>
      <c r="BA3" s="3">
        <v>47671</v>
      </c>
      <c r="BB3" s="3">
        <v>35359</v>
      </c>
      <c r="BC3" s="2">
        <v>210.5</v>
      </c>
      <c r="BD3" s="2">
        <v>80.5</v>
      </c>
      <c r="BE3" s="2">
        <v>94</v>
      </c>
      <c r="BF3" s="2">
        <v>31.32</v>
      </c>
      <c r="BG3" s="2">
        <v>256</v>
      </c>
      <c r="BH3" s="2">
        <v>0</v>
      </c>
      <c r="BI3" s="2">
        <v>4</v>
      </c>
      <c r="BJ3" s="3">
        <v>6516</v>
      </c>
      <c r="BK3" s="3">
        <v>2546</v>
      </c>
      <c r="BL3" s="3">
        <v>3970</v>
      </c>
      <c r="BM3" s="3">
        <v>1150</v>
      </c>
      <c r="BN3" s="3">
        <v>1396</v>
      </c>
      <c r="BO3" s="2">
        <v>24</v>
      </c>
      <c r="BP3" s="2">
        <v>2.4</v>
      </c>
      <c r="BQ3" s="2">
        <v>25.6</v>
      </c>
      <c r="BR3" s="2" t="s">
        <v>428</v>
      </c>
    </row>
    <row r="4" spans="1:71" x14ac:dyDescent="0.35">
      <c r="A4" s="2" t="s">
        <v>332</v>
      </c>
      <c r="B4" s="2" t="s">
        <v>331</v>
      </c>
      <c r="C4" s="2" t="s">
        <v>423</v>
      </c>
      <c r="D4" s="2" t="s">
        <v>129</v>
      </c>
      <c r="E4" s="2">
        <v>16</v>
      </c>
      <c r="F4" s="2">
        <v>3</v>
      </c>
      <c r="G4" s="2">
        <v>48</v>
      </c>
      <c r="H4" s="2">
        <v>96</v>
      </c>
      <c r="I4" s="2">
        <v>384</v>
      </c>
      <c r="J4" s="2">
        <v>13</v>
      </c>
      <c r="K4" s="2">
        <v>6</v>
      </c>
      <c r="L4" s="2">
        <v>2</v>
      </c>
      <c r="M4" s="2">
        <v>2</v>
      </c>
      <c r="N4" s="2">
        <v>3</v>
      </c>
      <c r="O4" s="2">
        <v>19</v>
      </c>
      <c r="P4" s="2">
        <v>6</v>
      </c>
      <c r="Q4" s="2">
        <v>480</v>
      </c>
      <c r="R4" s="2">
        <v>350</v>
      </c>
      <c r="S4" s="2">
        <v>2.8571</v>
      </c>
      <c r="T4" s="2" t="s">
        <v>424</v>
      </c>
      <c r="U4" s="2">
        <v>8.0000000000000002E-3</v>
      </c>
      <c r="V4" s="2">
        <v>0</v>
      </c>
      <c r="W4" s="2">
        <v>0</v>
      </c>
      <c r="X4" s="3">
        <v>309535</v>
      </c>
      <c r="Y4" s="2">
        <v>6.0000000000000001E-3</v>
      </c>
      <c r="Z4" s="2">
        <v>-2E-3</v>
      </c>
      <c r="AA4" s="2">
        <v>1</v>
      </c>
      <c r="AB4" s="2">
        <v>10</v>
      </c>
      <c r="AC4" s="2">
        <v>9.0999999999999998E-2</v>
      </c>
      <c r="AD4" s="2">
        <v>0</v>
      </c>
      <c r="AE4" s="2" t="s">
        <v>425</v>
      </c>
      <c r="AF4" s="2">
        <v>351</v>
      </c>
      <c r="AG4" s="2" t="s">
        <v>426</v>
      </c>
      <c r="AH4" s="2">
        <v>501.8</v>
      </c>
      <c r="AI4" s="2">
        <v>0.69699999999999995</v>
      </c>
      <c r="AJ4" s="3">
        <v>54733</v>
      </c>
      <c r="AK4" s="3">
        <v>4320</v>
      </c>
      <c r="AL4" s="3">
        <v>67736</v>
      </c>
      <c r="AM4" s="2">
        <v>60</v>
      </c>
      <c r="AN4" s="2">
        <v>384</v>
      </c>
      <c r="AO4" s="2">
        <v>10</v>
      </c>
      <c r="AP4" s="3">
        <v>15551</v>
      </c>
      <c r="AQ4" s="3">
        <v>28891</v>
      </c>
      <c r="AR4" s="2">
        <v>140</v>
      </c>
      <c r="AS4" s="2">
        <v>3</v>
      </c>
      <c r="AT4" s="3">
        <v>6113</v>
      </c>
      <c r="AU4" s="3">
        <v>9536</v>
      </c>
      <c r="AV4" s="2">
        <v>48</v>
      </c>
      <c r="AW4" s="3">
        <v>21664</v>
      </c>
      <c r="AX4" s="2">
        <v>142.5</v>
      </c>
      <c r="AY4" s="2" t="s">
        <v>129</v>
      </c>
      <c r="AZ4" s="3">
        <v>111137</v>
      </c>
      <c r="BA4" s="3">
        <v>47670</v>
      </c>
      <c r="BB4" s="3">
        <v>35360</v>
      </c>
      <c r="BC4" s="2">
        <v>280.5</v>
      </c>
      <c r="BD4" s="2">
        <v>80.5</v>
      </c>
      <c r="BE4" s="2">
        <v>94</v>
      </c>
      <c r="BF4" s="2">
        <v>41.74</v>
      </c>
      <c r="BG4" s="2">
        <v>384</v>
      </c>
      <c r="BH4" s="2">
        <v>0</v>
      </c>
      <c r="BI4" s="2">
        <v>4</v>
      </c>
      <c r="BJ4" s="3">
        <v>6512</v>
      </c>
      <c r="BK4" s="3">
        <v>2539</v>
      </c>
      <c r="BL4" s="3">
        <v>3973</v>
      </c>
      <c r="BM4" s="3">
        <v>1147</v>
      </c>
      <c r="BN4" s="3">
        <v>1392</v>
      </c>
      <c r="BO4" s="2">
        <v>33.6</v>
      </c>
      <c r="BP4" s="2">
        <v>2.585</v>
      </c>
      <c r="BQ4" s="2">
        <v>29.54</v>
      </c>
      <c r="BR4" s="2" t="s">
        <v>429</v>
      </c>
      <c r="BS4" s="2" t="s">
        <v>430</v>
      </c>
    </row>
    <row r="5" spans="1:71" x14ac:dyDescent="0.35">
      <c r="A5" s="2" t="s">
        <v>314</v>
      </c>
      <c r="B5" s="2" t="s">
        <v>330</v>
      </c>
      <c r="C5" s="2" t="s">
        <v>423</v>
      </c>
      <c r="D5" s="2" t="s">
        <v>431</v>
      </c>
      <c r="E5" s="2">
        <v>8</v>
      </c>
      <c r="F5" s="2">
        <v>8</v>
      </c>
      <c r="G5" s="2">
        <v>64</v>
      </c>
      <c r="H5" s="2">
        <v>128</v>
      </c>
      <c r="I5" s="2">
        <v>512</v>
      </c>
      <c r="J5" s="2">
        <v>17</v>
      </c>
      <c r="K5" s="2">
        <v>8</v>
      </c>
      <c r="L5" s="2">
        <v>3</v>
      </c>
      <c r="M5" s="2">
        <v>2</v>
      </c>
      <c r="N5" s="2">
        <v>4</v>
      </c>
      <c r="O5" s="2">
        <v>15</v>
      </c>
      <c r="P5" s="2">
        <v>16</v>
      </c>
      <c r="Q5" s="2">
        <v>640</v>
      </c>
      <c r="R5" s="2">
        <v>325</v>
      </c>
      <c r="S5" s="2">
        <v>3.0769000000000002</v>
      </c>
      <c r="T5" s="2" t="s">
        <v>424</v>
      </c>
      <c r="U5" s="2">
        <v>1E-3</v>
      </c>
      <c r="V5" s="2">
        <v>0</v>
      </c>
      <c r="W5" s="2">
        <v>0</v>
      </c>
      <c r="X5" s="3">
        <v>397573</v>
      </c>
      <c r="Y5" s="2">
        <v>5.0000000000000001E-3</v>
      </c>
      <c r="Z5" s="2">
        <v>1E-3</v>
      </c>
      <c r="AA5" s="2">
        <v>0</v>
      </c>
      <c r="AB5" s="2">
        <v>0</v>
      </c>
      <c r="AC5" s="2">
        <v>0.13200000000000001</v>
      </c>
      <c r="AD5" s="2">
        <v>0</v>
      </c>
      <c r="AE5" s="2" t="s">
        <v>425</v>
      </c>
      <c r="AF5" s="2">
        <v>325.10000000000002</v>
      </c>
      <c r="AG5" s="2" t="s">
        <v>426</v>
      </c>
      <c r="AH5" s="2">
        <v>448.6</v>
      </c>
      <c r="AI5" s="2">
        <v>0.72399999999999998</v>
      </c>
      <c r="AJ5" s="3">
        <v>66176</v>
      </c>
      <c r="AK5" s="3">
        <v>5759</v>
      </c>
      <c r="AL5" s="3">
        <v>87243</v>
      </c>
      <c r="AM5" s="2">
        <v>74</v>
      </c>
      <c r="AN5" s="2">
        <v>512</v>
      </c>
      <c r="AO5" s="2">
        <v>13</v>
      </c>
      <c r="AP5" s="3">
        <v>21074</v>
      </c>
      <c r="AQ5" s="3">
        <v>36920</v>
      </c>
      <c r="AR5" s="2">
        <v>176</v>
      </c>
      <c r="AS5" s="2">
        <v>4</v>
      </c>
      <c r="AT5" s="3">
        <v>8158</v>
      </c>
      <c r="AU5" s="3">
        <v>12719</v>
      </c>
      <c r="AV5" s="2">
        <v>64</v>
      </c>
      <c r="AW5" s="3">
        <v>29232</v>
      </c>
      <c r="AX5" s="2">
        <v>129.19999999999999</v>
      </c>
      <c r="AY5" s="2" t="s">
        <v>130</v>
      </c>
      <c r="AZ5" s="3">
        <v>69903</v>
      </c>
      <c r="BA5" s="3">
        <v>113940</v>
      </c>
      <c r="BB5" s="3">
        <v>35362</v>
      </c>
      <c r="BC5" s="2">
        <v>276</v>
      </c>
      <c r="BD5" s="2">
        <v>154.5</v>
      </c>
      <c r="BE5" s="2">
        <v>94</v>
      </c>
      <c r="BF5" s="2">
        <v>41.07</v>
      </c>
      <c r="BG5" s="2">
        <v>0</v>
      </c>
      <c r="BH5" s="2">
        <v>512</v>
      </c>
      <c r="BI5" s="2">
        <v>4</v>
      </c>
      <c r="BJ5" s="3">
        <v>10855</v>
      </c>
      <c r="BK5" s="3">
        <v>6862</v>
      </c>
      <c r="BL5" s="3">
        <v>3993</v>
      </c>
      <c r="BM5" s="3">
        <v>4413</v>
      </c>
      <c r="BN5" s="3">
        <v>2449</v>
      </c>
      <c r="BO5" s="2">
        <v>41.6</v>
      </c>
      <c r="BP5" s="2">
        <v>2.4470000000000001</v>
      </c>
      <c r="BQ5" s="2">
        <v>30.12</v>
      </c>
      <c r="BR5" s="2" t="s">
        <v>432</v>
      </c>
      <c r="BS5" s="2" t="s">
        <v>433</v>
      </c>
    </row>
    <row r="6" spans="1:71" x14ac:dyDescent="0.35">
      <c r="A6" s="2" t="s">
        <v>329</v>
      </c>
      <c r="B6" s="2" t="s">
        <v>326</v>
      </c>
      <c r="C6" s="2" t="s">
        <v>423</v>
      </c>
      <c r="D6" s="2" t="s">
        <v>431</v>
      </c>
      <c r="E6" s="2">
        <v>4</v>
      </c>
      <c r="F6" s="2">
        <v>24</v>
      </c>
      <c r="G6" s="2">
        <v>96</v>
      </c>
      <c r="H6" s="2">
        <v>192</v>
      </c>
      <c r="I6" s="2">
        <v>768</v>
      </c>
      <c r="J6" s="2">
        <v>24</v>
      </c>
      <c r="K6" s="2">
        <v>12</v>
      </c>
      <c r="L6" s="2">
        <v>4</v>
      </c>
      <c r="M6" s="2">
        <v>2</v>
      </c>
      <c r="N6" s="2">
        <v>6</v>
      </c>
      <c r="O6" s="2">
        <v>8</v>
      </c>
      <c r="P6" s="2">
        <v>48</v>
      </c>
      <c r="Q6" s="2">
        <v>960</v>
      </c>
      <c r="R6" s="2">
        <v>300</v>
      </c>
      <c r="S6" s="2">
        <v>3.3332999999999999</v>
      </c>
      <c r="T6" s="2" t="s">
        <v>424</v>
      </c>
      <c r="U6" s="2">
        <v>2E-3</v>
      </c>
      <c r="V6" s="2">
        <v>0</v>
      </c>
      <c r="W6" s="2">
        <v>0</v>
      </c>
      <c r="X6" s="3">
        <v>568736</v>
      </c>
      <c r="Y6" s="2">
        <v>0.01</v>
      </c>
      <c r="Z6" s="2">
        <v>2E-3</v>
      </c>
      <c r="AA6" s="2">
        <v>0</v>
      </c>
      <c r="AB6" s="2">
        <v>0</v>
      </c>
      <c r="AC6" s="2">
        <v>4.5999999999999999E-2</v>
      </c>
      <c r="AD6" s="2">
        <v>0</v>
      </c>
      <c r="AE6" s="2" t="s">
        <v>425</v>
      </c>
      <c r="AF6" s="2">
        <v>300.2</v>
      </c>
      <c r="AG6" s="2" t="s">
        <v>426</v>
      </c>
      <c r="AH6" s="2">
        <v>407.3</v>
      </c>
      <c r="AI6" s="2">
        <v>0.73699999999999999</v>
      </c>
      <c r="AJ6" s="3">
        <v>94823</v>
      </c>
      <c r="AK6" s="3">
        <v>8637</v>
      </c>
      <c r="AL6" s="3">
        <v>126335</v>
      </c>
      <c r="AM6" s="2">
        <v>103</v>
      </c>
      <c r="AN6" s="2">
        <v>768</v>
      </c>
      <c r="AO6" s="2">
        <v>18</v>
      </c>
      <c r="AP6" s="3">
        <v>28222</v>
      </c>
      <c r="AQ6" s="3">
        <v>51734</v>
      </c>
      <c r="AR6" s="2">
        <v>250</v>
      </c>
      <c r="AS6" s="2">
        <v>6</v>
      </c>
      <c r="AT6" s="3">
        <v>12198</v>
      </c>
      <c r="AU6" s="3">
        <v>19069</v>
      </c>
      <c r="AV6" s="2">
        <v>96</v>
      </c>
      <c r="AW6" s="3">
        <v>40420</v>
      </c>
      <c r="AX6" s="2">
        <v>123.5</v>
      </c>
      <c r="AY6" s="2" t="s">
        <v>130</v>
      </c>
      <c r="AZ6" s="3">
        <v>90632</v>
      </c>
      <c r="BA6" s="3">
        <v>142604</v>
      </c>
      <c r="BB6" s="3">
        <v>35356</v>
      </c>
      <c r="BC6" s="2">
        <v>384.5</v>
      </c>
      <c r="BD6" s="2">
        <v>183.5</v>
      </c>
      <c r="BE6" s="2">
        <v>94</v>
      </c>
      <c r="BF6" s="2">
        <v>57.22</v>
      </c>
      <c r="BG6" s="2">
        <v>0</v>
      </c>
      <c r="BH6" s="2">
        <v>768</v>
      </c>
      <c r="BI6" s="2">
        <v>4</v>
      </c>
      <c r="BJ6" s="3">
        <v>12775</v>
      </c>
      <c r="BK6" s="3">
        <v>8774</v>
      </c>
      <c r="BL6" s="3">
        <v>4001</v>
      </c>
      <c r="BM6" s="3">
        <v>5803</v>
      </c>
      <c r="BN6" s="3">
        <v>2971</v>
      </c>
      <c r="BO6" s="2">
        <v>57.6</v>
      </c>
      <c r="BP6" s="2">
        <v>2.4</v>
      </c>
      <c r="BQ6" s="2">
        <v>32</v>
      </c>
      <c r="BR6" s="2" t="s">
        <v>434</v>
      </c>
    </row>
    <row r="7" spans="1:71" x14ac:dyDescent="0.35">
      <c r="A7" s="2" t="s">
        <v>325</v>
      </c>
      <c r="B7" s="2" t="s">
        <v>322</v>
      </c>
      <c r="C7" s="2" t="s">
        <v>423</v>
      </c>
      <c r="D7" s="2" t="s">
        <v>431</v>
      </c>
      <c r="E7" s="2">
        <v>4</v>
      </c>
      <c r="F7" s="2">
        <v>32</v>
      </c>
      <c r="G7" s="2">
        <v>128</v>
      </c>
      <c r="H7" s="2">
        <v>256</v>
      </c>
      <c r="I7" s="3">
        <v>1024</v>
      </c>
      <c r="J7" s="2">
        <v>32</v>
      </c>
      <c r="K7" s="2">
        <v>16</v>
      </c>
      <c r="L7" s="2">
        <v>6</v>
      </c>
      <c r="M7" s="2">
        <v>2</v>
      </c>
      <c r="N7" s="2">
        <v>8</v>
      </c>
      <c r="O7" s="2">
        <v>0</v>
      </c>
      <c r="P7" s="2">
        <v>64</v>
      </c>
      <c r="Q7" s="3">
        <v>1280</v>
      </c>
      <c r="R7" s="2">
        <v>250</v>
      </c>
      <c r="S7" s="2">
        <v>4</v>
      </c>
      <c r="T7" s="2" t="s">
        <v>424</v>
      </c>
      <c r="U7" s="2">
        <v>1E-3</v>
      </c>
      <c r="V7" s="2">
        <v>0</v>
      </c>
      <c r="W7" s="2">
        <v>0</v>
      </c>
      <c r="X7" s="3">
        <v>758100</v>
      </c>
      <c r="Y7" s="2">
        <v>6.0000000000000001E-3</v>
      </c>
      <c r="Z7" s="2">
        <v>1E-3</v>
      </c>
      <c r="AA7" s="2">
        <v>0</v>
      </c>
      <c r="AB7" s="2">
        <v>0</v>
      </c>
      <c r="AC7" s="2">
        <v>8.7999999999999995E-2</v>
      </c>
      <c r="AD7" s="2">
        <v>0</v>
      </c>
      <c r="AE7" s="2" t="s">
        <v>425</v>
      </c>
      <c r="AF7" s="2">
        <v>250.1</v>
      </c>
      <c r="AG7" s="2" t="s">
        <v>426</v>
      </c>
      <c r="AH7" s="2">
        <v>355.4</v>
      </c>
      <c r="AI7" s="2">
        <v>0.70299999999999996</v>
      </c>
      <c r="AJ7" s="3">
        <v>125614</v>
      </c>
      <c r="AK7" s="3">
        <v>11520</v>
      </c>
      <c r="AL7" s="3">
        <v>167476</v>
      </c>
      <c r="AM7" s="2">
        <v>133</v>
      </c>
      <c r="AN7" s="3">
        <v>1024</v>
      </c>
      <c r="AO7" s="2">
        <v>24</v>
      </c>
      <c r="AP7" s="3">
        <v>35981</v>
      </c>
      <c r="AQ7" s="3">
        <v>67403</v>
      </c>
      <c r="AR7" s="2">
        <v>326</v>
      </c>
      <c r="AS7" s="2">
        <v>8</v>
      </c>
      <c r="AT7" s="3">
        <v>16101</v>
      </c>
      <c r="AU7" s="3">
        <v>25176</v>
      </c>
      <c r="AV7" s="2">
        <v>128</v>
      </c>
      <c r="AW7" s="3">
        <v>52082</v>
      </c>
      <c r="AX7" s="2">
        <v>122.7</v>
      </c>
      <c r="AY7" s="2" t="s">
        <v>130</v>
      </c>
      <c r="AZ7" s="3">
        <v>119628</v>
      </c>
      <c r="BA7" s="3">
        <v>173294</v>
      </c>
      <c r="BB7" s="3">
        <v>33830</v>
      </c>
      <c r="BC7" s="2">
        <v>495.5</v>
      </c>
      <c r="BD7" s="2">
        <v>213.5</v>
      </c>
      <c r="BE7" s="2">
        <v>94</v>
      </c>
      <c r="BF7" s="2">
        <v>73.739999999999995</v>
      </c>
      <c r="BG7" s="2">
        <v>0</v>
      </c>
      <c r="BH7" s="3">
        <v>1024</v>
      </c>
      <c r="BI7" s="2">
        <v>4</v>
      </c>
      <c r="BJ7" s="3">
        <v>15811</v>
      </c>
      <c r="BK7" s="3">
        <v>11235</v>
      </c>
      <c r="BL7" s="3">
        <v>4576</v>
      </c>
      <c r="BM7" s="3">
        <v>7446</v>
      </c>
      <c r="BN7" s="3">
        <v>3789</v>
      </c>
      <c r="BO7" s="2">
        <v>64</v>
      </c>
      <c r="BP7" s="2">
        <v>2</v>
      </c>
      <c r="BQ7" s="2">
        <v>32</v>
      </c>
      <c r="BR7" s="2" t="s">
        <v>435</v>
      </c>
    </row>
    <row r="8" spans="1:71" x14ac:dyDescent="0.35">
      <c r="A8" s="2" t="s">
        <v>342</v>
      </c>
      <c r="B8" s="2" t="s">
        <v>339</v>
      </c>
      <c r="C8" s="2" t="s">
        <v>436</v>
      </c>
      <c r="D8" s="2" t="s">
        <v>431</v>
      </c>
      <c r="E8" s="2">
        <v>4</v>
      </c>
      <c r="F8" s="2">
        <v>4</v>
      </c>
      <c r="G8" s="2">
        <v>16</v>
      </c>
      <c r="H8" s="2">
        <v>32</v>
      </c>
      <c r="I8" s="2">
        <v>128</v>
      </c>
      <c r="J8" s="2">
        <v>6</v>
      </c>
      <c r="K8" s="2">
        <v>2</v>
      </c>
      <c r="L8" s="2">
        <v>1</v>
      </c>
      <c r="M8" s="2">
        <v>2</v>
      </c>
      <c r="N8" s="2">
        <v>1</v>
      </c>
      <c r="O8" s="2">
        <v>26</v>
      </c>
      <c r="P8" s="2">
        <v>8</v>
      </c>
      <c r="Q8" s="2">
        <v>160</v>
      </c>
      <c r="R8" s="2">
        <v>400</v>
      </c>
      <c r="S8" s="2">
        <v>2.5</v>
      </c>
      <c r="T8" s="2" t="s">
        <v>424</v>
      </c>
      <c r="U8" s="2">
        <v>-0.03</v>
      </c>
      <c r="V8" s="2">
        <v>-0.72199999999999998</v>
      </c>
      <c r="W8" s="2">
        <v>47</v>
      </c>
      <c r="X8" s="3">
        <v>120406</v>
      </c>
      <c r="Y8" s="2">
        <v>4.0000000000000001E-3</v>
      </c>
      <c r="Z8" s="2">
        <v>-4.8000000000000001E-2</v>
      </c>
      <c r="AA8" s="2">
        <v>84</v>
      </c>
      <c r="AB8" s="2">
        <v>18</v>
      </c>
      <c r="AC8" s="2">
        <v>9.0999999999999998E-2</v>
      </c>
      <c r="AD8" s="2">
        <v>0</v>
      </c>
      <c r="AE8" s="2" t="s">
        <v>437</v>
      </c>
      <c r="AF8" s="2">
        <v>395.3</v>
      </c>
      <c r="AG8" s="2" t="s">
        <v>438</v>
      </c>
      <c r="AH8" s="2">
        <v>619.6</v>
      </c>
      <c r="AI8" s="2">
        <v>0.64600000000000002</v>
      </c>
      <c r="AJ8" s="3">
        <v>17988</v>
      </c>
      <c r="AK8" s="3">
        <v>1440</v>
      </c>
      <c r="AL8" s="3">
        <v>22390</v>
      </c>
      <c r="AM8" s="2">
        <v>31</v>
      </c>
      <c r="AN8" s="2">
        <v>128</v>
      </c>
      <c r="AO8" s="2">
        <v>5</v>
      </c>
      <c r="AP8" s="3">
        <v>8324</v>
      </c>
      <c r="AQ8" s="3">
        <v>14250</v>
      </c>
      <c r="AR8" s="2">
        <v>68</v>
      </c>
      <c r="AS8" s="2">
        <v>1</v>
      </c>
      <c r="AT8" s="3">
        <v>2053</v>
      </c>
      <c r="AU8" s="3">
        <v>3177</v>
      </c>
      <c r="AV8" s="2">
        <v>16</v>
      </c>
      <c r="AW8" s="3">
        <v>10377</v>
      </c>
      <c r="AX8" s="2">
        <v>140.5</v>
      </c>
      <c r="AY8" s="2" t="s">
        <v>130</v>
      </c>
      <c r="AZ8" s="3">
        <v>35658</v>
      </c>
      <c r="BA8" s="3">
        <v>65684</v>
      </c>
      <c r="BB8" s="3">
        <v>35376</v>
      </c>
      <c r="BC8" s="2">
        <v>114</v>
      </c>
      <c r="BD8" s="2">
        <v>111.5</v>
      </c>
      <c r="BE8" s="2">
        <v>94</v>
      </c>
      <c r="BF8" s="2">
        <v>16.96</v>
      </c>
      <c r="BG8" s="2">
        <v>0</v>
      </c>
      <c r="BH8" s="2">
        <v>128</v>
      </c>
      <c r="BI8" s="2">
        <v>4</v>
      </c>
      <c r="BJ8" s="3">
        <v>8033</v>
      </c>
      <c r="BK8" s="3">
        <v>4065</v>
      </c>
      <c r="BL8" s="3">
        <v>3968</v>
      </c>
      <c r="BM8" s="3">
        <v>2398</v>
      </c>
      <c r="BN8" s="3">
        <v>1667</v>
      </c>
      <c r="BQ8" s="2">
        <v>21.33</v>
      </c>
      <c r="BR8" s="2" t="s">
        <v>439</v>
      </c>
      <c r="BS8" s="2" t="s">
        <v>440</v>
      </c>
    </row>
    <row r="9" spans="1:71" x14ac:dyDescent="0.35">
      <c r="A9" s="2" t="s">
        <v>314</v>
      </c>
      <c r="B9" s="2" t="s">
        <v>330</v>
      </c>
      <c r="C9" s="2" t="s">
        <v>436</v>
      </c>
      <c r="D9" s="2" t="s">
        <v>129</v>
      </c>
      <c r="E9" s="2">
        <v>8</v>
      </c>
      <c r="F9" s="2">
        <v>8</v>
      </c>
      <c r="G9" s="2">
        <v>64</v>
      </c>
      <c r="H9" s="2">
        <v>128</v>
      </c>
      <c r="I9" s="2">
        <v>512</v>
      </c>
      <c r="J9" s="2">
        <v>17</v>
      </c>
      <c r="K9" s="2">
        <v>8</v>
      </c>
      <c r="L9" s="2">
        <v>3</v>
      </c>
      <c r="M9" s="2">
        <v>2</v>
      </c>
      <c r="N9" s="2">
        <v>4</v>
      </c>
      <c r="O9" s="2">
        <v>15</v>
      </c>
      <c r="P9" s="2">
        <v>16</v>
      </c>
      <c r="Q9" s="2">
        <v>640</v>
      </c>
      <c r="R9" s="2">
        <v>325</v>
      </c>
      <c r="S9" s="2">
        <v>3.0769000000000002</v>
      </c>
      <c r="T9" s="2" t="s">
        <v>424</v>
      </c>
      <c r="U9" s="2">
        <v>-0.311</v>
      </c>
      <c r="V9" s="2">
        <v>-37.85</v>
      </c>
      <c r="W9" s="2">
        <v>308</v>
      </c>
      <c r="X9" s="3">
        <v>397299</v>
      </c>
      <c r="Y9" s="2">
        <v>6.0000000000000001E-3</v>
      </c>
      <c r="Z9" s="2">
        <v>-0.33800000000000002</v>
      </c>
      <c r="AA9" s="2">
        <v>320</v>
      </c>
      <c r="AB9" s="2">
        <v>27</v>
      </c>
      <c r="AC9" s="2">
        <v>5.8999999999999997E-2</v>
      </c>
      <c r="AD9" s="2">
        <v>0</v>
      </c>
      <c r="AE9" s="2" t="s">
        <v>437</v>
      </c>
      <c r="AF9" s="2">
        <v>295.2</v>
      </c>
      <c r="AG9" s="2" t="s">
        <v>438</v>
      </c>
      <c r="AH9" s="2">
        <v>448.6</v>
      </c>
      <c r="AI9" s="2">
        <v>0.72399999999999998</v>
      </c>
      <c r="AJ9" s="3">
        <v>66183</v>
      </c>
      <c r="AK9" s="3">
        <v>5760</v>
      </c>
      <c r="AL9" s="3">
        <v>87240</v>
      </c>
      <c r="AM9" s="2">
        <v>74</v>
      </c>
      <c r="AN9" s="2">
        <v>512</v>
      </c>
      <c r="AO9" s="2">
        <v>13</v>
      </c>
      <c r="AP9" s="3">
        <v>19865</v>
      </c>
      <c r="AQ9" s="3">
        <v>36746</v>
      </c>
      <c r="AR9" s="2">
        <v>176</v>
      </c>
      <c r="AS9" s="2">
        <v>4</v>
      </c>
      <c r="AT9" s="3">
        <v>8190</v>
      </c>
      <c r="AU9" s="3">
        <v>12753</v>
      </c>
      <c r="AV9" s="2">
        <v>64</v>
      </c>
      <c r="AW9" s="3">
        <v>28055</v>
      </c>
      <c r="AX9" s="2">
        <v>129.30000000000001</v>
      </c>
      <c r="AY9" s="2" t="s">
        <v>129</v>
      </c>
      <c r="AZ9" s="3">
        <v>135023</v>
      </c>
      <c r="BA9" s="3">
        <v>47695</v>
      </c>
      <c r="BB9" s="3">
        <v>35355</v>
      </c>
      <c r="BC9" s="2">
        <v>350</v>
      </c>
      <c r="BD9" s="2">
        <v>80.5</v>
      </c>
      <c r="BE9" s="2">
        <v>94</v>
      </c>
      <c r="BF9" s="2">
        <v>52.08</v>
      </c>
      <c r="BG9" s="2">
        <v>512</v>
      </c>
      <c r="BH9" s="2">
        <v>0</v>
      </c>
      <c r="BI9" s="2">
        <v>4</v>
      </c>
      <c r="BJ9" s="3">
        <v>6569</v>
      </c>
      <c r="BK9" s="3">
        <v>2574</v>
      </c>
      <c r="BL9" s="3">
        <v>3995</v>
      </c>
      <c r="BM9" s="3">
        <v>1174</v>
      </c>
      <c r="BN9" s="3">
        <v>1400</v>
      </c>
      <c r="BQ9" s="2">
        <v>30.12</v>
      </c>
      <c r="BR9" s="2" t="s">
        <v>441</v>
      </c>
      <c r="BS9" s="2" t="s">
        <v>442</v>
      </c>
    </row>
    <row r="10" spans="1:71" x14ac:dyDescent="0.35">
      <c r="A10" s="2" t="s">
        <v>332</v>
      </c>
      <c r="B10" s="2" t="s">
        <v>331</v>
      </c>
      <c r="C10" s="2" t="s">
        <v>443</v>
      </c>
      <c r="D10" s="2" t="s">
        <v>129</v>
      </c>
      <c r="E10" s="2">
        <v>16</v>
      </c>
      <c r="F10" s="2">
        <v>3</v>
      </c>
      <c r="G10" s="2">
        <v>48</v>
      </c>
      <c r="H10" s="2">
        <v>96</v>
      </c>
      <c r="I10" s="2">
        <v>384</v>
      </c>
      <c r="J10" s="2">
        <v>13</v>
      </c>
      <c r="K10" s="2">
        <v>6</v>
      </c>
      <c r="L10" s="2">
        <v>2</v>
      </c>
      <c r="M10" s="2">
        <v>2</v>
      </c>
      <c r="N10" s="2">
        <v>3</v>
      </c>
      <c r="O10" s="2">
        <v>19</v>
      </c>
      <c r="P10" s="2">
        <v>6</v>
      </c>
      <c r="Q10" s="2">
        <v>480</v>
      </c>
      <c r="R10" s="2">
        <v>345</v>
      </c>
      <c r="S10" s="2">
        <v>2.8986000000000001</v>
      </c>
      <c r="T10" s="2" t="s">
        <v>424</v>
      </c>
      <c r="U10" s="2">
        <v>-4.9000000000000002E-2</v>
      </c>
      <c r="V10" s="2">
        <v>-1.571</v>
      </c>
      <c r="W10" s="2">
        <v>74</v>
      </c>
      <c r="X10" s="3">
        <v>309514</v>
      </c>
      <c r="Y10" s="2">
        <v>1E-3</v>
      </c>
      <c r="Z10" s="2">
        <v>-9.0999999999999998E-2</v>
      </c>
      <c r="AA10" s="2">
        <v>99</v>
      </c>
      <c r="AB10" s="2">
        <v>42</v>
      </c>
      <c r="AC10" s="2">
        <v>9.8000000000000004E-2</v>
      </c>
      <c r="AD10" s="2">
        <v>0</v>
      </c>
      <c r="AE10" s="2" t="s">
        <v>437</v>
      </c>
      <c r="AF10" s="2">
        <v>339.3</v>
      </c>
      <c r="AG10" s="2" t="s">
        <v>438</v>
      </c>
      <c r="AH10" s="2">
        <v>501.8</v>
      </c>
      <c r="AI10" s="2">
        <v>0.68799999999999994</v>
      </c>
      <c r="AJ10" s="3">
        <v>54785</v>
      </c>
      <c r="AK10" s="3">
        <v>4319</v>
      </c>
      <c r="AL10" s="3">
        <v>67740</v>
      </c>
      <c r="AM10" s="2">
        <v>60</v>
      </c>
      <c r="AN10" s="2">
        <v>384</v>
      </c>
      <c r="AO10" s="2">
        <v>10</v>
      </c>
      <c r="AP10" s="3">
        <v>15542</v>
      </c>
      <c r="AQ10" s="3">
        <v>28884</v>
      </c>
      <c r="AR10" s="2">
        <v>140</v>
      </c>
      <c r="AS10" s="2">
        <v>3</v>
      </c>
      <c r="AT10" s="3">
        <v>6106</v>
      </c>
      <c r="AU10" s="3">
        <v>9523</v>
      </c>
      <c r="AV10" s="2">
        <v>48</v>
      </c>
      <c r="AW10" s="3">
        <v>21648</v>
      </c>
      <c r="AX10" s="2">
        <v>142.69999999999999</v>
      </c>
      <c r="AY10" s="2" t="s">
        <v>129</v>
      </c>
      <c r="AZ10" s="3">
        <v>111113</v>
      </c>
      <c r="BA10" s="3">
        <v>47670</v>
      </c>
      <c r="BB10" s="3">
        <v>35355</v>
      </c>
      <c r="BC10" s="2">
        <v>280.5</v>
      </c>
      <c r="BD10" s="2">
        <v>80.5</v>
      </c>
      <c r="BE10" s="2">
        <v>94</v>
      </c>
      <c r="BF10" s="2">
        <v>41.74</v>
      </c>
      <c r="BG10" s="2">
        <v>384</v>
      </c>
      <c r="BH10" s="2">
        <v>0</v>
      </c>
      <c r="BI10" s="2">
        <v>4</v>
      </c>
      <c r="BJ10" s="3">
        <v>6512</v>
      </c>
      <c r="BK10" s="3">
        <v>2539</v>
      </c>
      <c r="BL10" s="3">
        <v>3973</v>
      </c>
      <c r="BM10" s="3">
        <v>1147</v>
      </c>
      <c r="BN10" s="3">
        <v>1392</v>
      </c>
      <c r="BQ10" s="2">
        <v>29.54</v>
      </c>
      <c r="BR10" s="2" t="s">
        <v>444</v>
      </c>
      <c r="BS10" s="2" t="s">
        <v>445</v>
      </c>
    </row>
    <row r="11" spans="1:71" x14ac:dyDescent="0.35">
      <c r="A11" s="2" t="s">
        <v>332</v>
      </c>
      <c r="B11" s="2" t="s">
        <v>331</v>
      </c>
      <c r="C11" s="2" t="s">
        <v>443</v>
      </c>
      <c r="D11" s="2" t="s">
        <v>129</v>
      </c>
      <c r="E11" s="2">
        <v>16</v>
      </c>
      <c r="F11" s="2">
        <v>3</v>
      </c>
      <c r="G11" s="2">
        <v>48</v>
      </c>
      <c r="H11" s="2">
        <v>96</v>
      </c>
      <c r="I11" s="2">
        <v>384</v>
      </c>
      <c r="J11" s="2">
        <v>13</v>
      </c>
      <c r="K11" s="2">
        <v>6</v>
      </c>
      <c r="L11" s="2">
        <v>2</v>
      </c>
      <c r="M11" s="2">
        <v>2</v>
      </c>
      <c r="N11" s="2">
        <v>3</v>
      </c>
      <c r="O11" s="2">
        <v>19</v>
      </c>
      <c r="P11" s="2">
        <v>6</v>
      </c>
      <c r="Q11" s="2">
        <v>480</v>
      </c>
      <c r="R11" s="2">
        <v>325</v>
      </c>
      <c r="S11" s="2">
        <v>3.0769000000000002</v>
      </c>
      <c r="T11" s="2" t="s">
        <v>424</v>
      </c>
      <c r="U11" s="2">
        <v>2.8000000000000001E-2</v>
      </c>
      <c r="V11" s="2">
        <v>0</v>
      </c>
      <c r="W11" s="2">
        <v>0</v>
      </c>
      <c r="X11" s="3">
        <v>309436</v>
      </c>
      <c r="Y11" s="2">
        <v>0.01</v>
      </c>
      <c r="Z11" s="2">
        <v>2.8000000000000001E-2</v>
      </c>
      <c r="AA11" s="2">
        <v>0</v>
      </c>
      <c r="AB11" s="2">
        <v>0</v>
      </c>
      <c r="AC11" s="2">
        <v>8.1000000000000003E-2</v>
      </c>
      <c r="AD11" s="2">
        <v>0</v>
      </c>
      <c r="AE11" s="2" t="s">
        <v>425</v>
      </c>
      <c r="AF11" s="2">
        <v>328</v>
      </c>
      <c r="AG11" s="2" t="s">
        <v>426</v>
      </c>
      <c r="AH11" s="2">
        <v>501.8</v>
      </c>
      <c r="AI11" s="2">
        <v>0.64800000000000002</v>
      </c>
      <c r="AJ11" s="3">
        <v>54649</v>
      </c>
      <c r="AK11" s="3">
        <v>4320</v>
      </c>
      <c r="AL11" s="3">
        <v>67720</v>
      </c>
      <c r="AM11" s="2">
        <v>60</v>
      </c>
      <c r="AN11" s="2">
        <v>384</v>
      </c>
      <c r="AO11" s="2">
        <v>10</v>
      </c>
      <c r="AP11" s="3">
        <v>15574</v>
      </c>
      <c r="AQ11" s="3">
        <v>28860</v>
      </c>
      <c r="AR11" s="2">
        <v>140</v>
      </c>
      <c r="AS11" s="2">
        <v>3</v>
      </c>
      <c r="AT11" s="3">
        <v>6097</v>
      </c>
      <c r="AU11" s="3">
        <v>9525</v>
      </c>
      <c r="AV11" s="2">
        <v>48</v>
      </c>
      <c r="AW11" s="3">
        <v>21671</v>
      </c>
      <c r="AX11" s="2">
        <v>142.30000000000001</v>
      </c>
      <c r="AY11" s="2" t="s">
        <v>129</v>
      </c>
      <c r="AZ11" s="3">
        <v>111012</v>
      </c>
      <c r="BA11" s="3">
        <v>47671</v>
      </c>
      <c r="BB11" s="3">
        <v>35359</v>
      </c>
      <c r="BC11" s="2">
        <v>280.5</v>
      </c>
      <c r="BD11" s="2">
        <v>80.5</v>
      </c>
      <c r="BE11" s="2">
        <v>94</v>
      </c>
      <c r="BF11" s="2">
        <v>41.74</v>
      </c>
      <c r="BG11" s="2">
        <v>384</v>
      </c>
      <c r="BH11" s="2">
        <v>0</v>
      </c>
      <c r="BI11" s="2">
        <v>4</v>
      </c>
      <c r="BJ11" s="3">
        <v>6516</v>
      </c>
      <c r="BK11" s="3">
        <v>2542</v>
      </c>
      <c r="BL11" s="3">
        <v>3974</v>
      </c>
      <c r="BM11" s="3">
        <v>1147</v>
      </c>
      <c r="BN11" s="3">
        <v>1395</v>
      </c>
      <c r="BO11" s="2">
        <v>31.2</v>
      </c>
      <c r="BP11" s="2">
        <v>2.4</v>
      </c>
      <c r="BQ11" s="2">
        <v>29.54</v>
      </c>
      <c r="BR11" s="2" t="s">
        <v>446</v>
      </c>
      <c r="BS11" s="2" t="s">
        <v>447</v>
      </c>
    </row>
  </sheetData>
  <autoFilter ref="A1:BS1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47C0-11F6-4DD5-9275-C81C9AABA86D}">
  <sheetPr>
    <tabColor rgb="FF00B050"/>
  </sheetPr>
  <dimension ref="A1:AF7"/>
  <sheetViews>
    <sheetView topLeftCell="L1" zoomScale="55" zoomScaleNormal="55" workbookViewId="0">
      <pane ySplit="1" topLeftCell="A11" activePane="bottomLeft" state="frozen"/>
      <selection pane="bottomLeft" activeCell="AD25" sqref="AD25"/>
    </sheetView>
  </sheetViews>
  <sheetFormatPr defaultRowHeight="14.5" x14ac:dyDescent="0.35"/>
  <cols>
    <col min="1" max="4" width="10" customWidth="1"/>
    <col min="5" max="5" width="14" customWidth="1"/>
    <col min="6" max="6" width="16" customWidth="1"/>
    <col min="7" max="15" width="10" customWidth="1"/>
    <col min="16" max="16" width="12" customWidth="1"/>
    <col min="17" max="17" width="19" customWidth="1"/>
    <col min="18" max="20" width="10" customWidth="1"/>
    <col min="21" max="21" width="12" customWidth="1"/>
    <col min="22" max="22" width="11" customWidth="1"/>
    <col min="23" max="23" width="13" customWidth="1"/>
    <col min="24" max="25" width="12" customWidth="1"/>
    <col min="26" max="27" width="18" customWidth="1"/>
    <col min="28" max="29" width="12" customWidth="1"/>
    <col min="30" max="30" width="19" customWidth="1"/>
    <col min="31" max="32" width="20" customWidth="1"/>
  </cols>
  <sheetData>
    <row r="1" spans="1:32" ht="30" customHeight="1" x14ac:dyDescent="0.35">
      <c r="A1" s="1" t="s">
        <v>290</v>
      </c>
      <c r="B1" s="1" t="s">
        <v>356</v>
      </c>
      <c r="C1" s="1" t="s">
        <v>291</v>
      </c>
      <c r="D1" s="1" t="s">
        <v>292</v>
      </c>
      <c r="E1" s="1" t="s">
        <v>294</v>
      </c>
      <c r="F1" s="1" t="s">
        <v>295</v>
      </c>
      <c r="G1" s="1" t="s">
        <v>355</v>
      </c>
      <c r="H1" s="1" t="s">
        <v>354</v>
      </c>
      <c r="I1" s="1" t="s">
        <v>353</v>
      </c>
      <c r="J1" s="1" t="s">
        <v>352</v>
      </c>
      <c r="K1" s="1" t="s">
        <v>351</v>
      </c>
      <c r="L1" s="1" t="s">
        <v>350</v>
      </c>
      <c r="M1" s="1" t="s">
        <v>349</v>
      </c>
      <c r="N1" s="1" t="s">
        <v>348</v>
      </c>
      <c r="O1" s="1" t="s">
        <v>296</v>
      </c>
      <c r="P1" s="1" t="s">
        <v>297</v>
      </c>
      <c r="Q1" s="1" t="s">
        <v>298</v>
      </c>
      <c r="R1" s="1" t="s">
        <v>300</v>
      </c>
      <c r="S1" s="1" t="s">
        <v>302</v>
      </c>
      <c r="T1" s="1" t="s">
        <v>304</v>
      </c>
      <c r="U1" s="1" t="s">
        <v>308</v>
      </c>
      <c r="V1" s="1" t="s">
        <v>310</v>
      </c>
      <c r="W1" s="1" t="s">
        <v>347</v>
      </c>
      <c r="X1" s="1" t="s">
        <v>346</v>
      </c>
      <c r="Y1" s="1" t="s">
        <v>345</v>
      </c>
      <c r="Z1" s="1" t="s">
        <v>344</v>
      </c>
      <c r="AA1" s="1" t="s">
        <v>343</v>
      </c>
      <c r="AB1" s="1" t="s">
        <v>357</v>
      </c>
      <c r="AC1" s="1" t="s">
        <v>13</v>
      </c>
      <c r="AD1" s="1" t="s">
        <v>358</v>
      </c>
      <c r="AE1" s="1" t="s">
        <v>359</v>
      </c>
      <c r="AF1" s="1" t="s">
        <v>360</v>
      </c>
    </row>
    <row r="2" spans="1:32" x14ac:dyDescent="0.35">
      <c r="A2" s="2" t="s">
        <v>342</v>
      </c>
      <c r="B2" s="2" t="s">
        <v>339</v>
      </c>
      <c r="C2" s="2">
        <v>4</v>
      </c>
      <c r="D2" s="2">
        <v>4</v>
      </c>
      <c r="E2" s="2">
        <v>16</v>
      </c>
      <c r="F2" s="2">
        <v>32</v>
      </c>
      <c r="G2" s="2">
        <v>128</v>
      </c>
      <c r="H2" s="2">
        <v>6</v>
      </c>
      <c r="I2" s="2">
        <v>2</v>
      </c>
      <c r="J2" s="2">
        <v>1</v>
      </c>
      <c r="K2" s="2">
        <v>2</v>
      </c>
      <c r="L2" s="2">
        <v>1</v>
      </c>
      <c r="M2" s="2">
        <v>8</v>
      </c>
      <c r="N2" s="2">
        <v>160</v>
      </c>
      <c r="O2" s="2">
        <v>-0.114</v>
      </c>
      <c r="P2" s="2">
        <v>-1.1930000000000001</v>
      </c>
      <c r="Q2" s="2">
        <v>31</v>
      </c>
      <c r="R2" s="2">
        <v>619.6</v>
      </c>
      <c r="S2" s="3">
        <v>20477</v>
      </c>
      <c r="T2" s="3">
        <v>22391</v>
      </c>
      <c r="U2" s="3">
        <v>2048</v>
      </c>
      <c r="V2" s="2">
        <v>23</v>
      </c>
      <c r="W2" s="2">
        <v>160</v>
      </c>
      <c r="X2" s="2">
        <v>174.9</v>
      </c>
      <c r="Y2" s="2">
        <v>19.8</v>
      </c>
      <c r="Z2" s="2">
        <v>3.3</v>
      </c>
      <c r="AA2" s="2">
        <v>21.3</v>
      </c>
      <c r="AB2" s="2">
        <v>78.5</v>
      </c>
      <c r="AC2" s="2">
        <v>14.5</v>
      </c>
    </row>
    <row r="3" spans="1:32" x14ac:dyDescent="0.35">
      <c r="A3" s="2" t="s">
        <v>337</v>
      </c>
      <c r="B3" s="2" t="s">
        <v>335</v>
      </c>
      <c r="C3" s="2">
        <v>8</v>
      </c>
      <c r="D3" s="2">
        <v>4</v>
      </c>
      <c r="E3" s="2">
        <v>32</v>
      </c>
      <c r="F3" s="2">
        <v>64</v>
      </c>
      <c r="G3" s="2">
        <v>256</v>
      </c>
      <c r="H3" s="2">
        <v>10</v>
      </c>
      <c r="I3" s="2">
        <v>4</v>
      </c>
      <c r="J3" s="2">
        <v>2</v>
      </c>
      <c r="K3" s="2">
        <v>2</v>
      </c>
      <c r="L3" s="2">
        <v>2</v>
      </c>
      <c r="M3" s="2">
        <v>8</v>
      </c>
      <c r="N3" s="2">
        <v>320</v>
      </c>
      <c r="O3" s="2">
        <v>-0.28599999999999998</v>
      </c>
      <c r="P3" s="2">
        <v>-91.28</v>
      </c>
      <c r="Q3" s="3">
        <v>1583</v>
      </c>
      <c r="R3" s="2">
        <v>559.9</v>
      </c>
      <c r="S3" s="3">
        <v>40106</v>
      </c>
      <c r="T3" s="3">
        <v>44005</v>
      </c>
      <c r="U3" s="3">
        <v>4096</v>
      </c>
      <c r="V3" s="2">
        <v>37</v>
      </c>
      <c r="W3" s="2">
        <v>156.69999999999999</v>
      </c>
      <c r="X3" s="2">
        <v>171.9</v>
      </c>
      <c r="Y3" s="2">
        <v>35.799999999999997</v>
      </c>
      <c r="Z3" s="2">
        <v>3.58</v>
      </c>
      <c r="AA3" s="2">
        <v>25.6</v>
      </c>
      <c r="AB3" s="2">
        <v>76.099999999999994</v>
      </c>
      <c r="AC3" s="2">
        <v>15.7</v>
      </c>
      <c r="AD3" s="2">
        <v>2</v>
      </c>
      <c r="AE3" s="2">
        <v>1.8080000000000001</v>
      </c>
      <c r="AF3" s="2">
        <v>0.90400000000000003</v>
      </c>
    </row>
    <row r="4" spans="1:32" x14ac:dyDescent="0.35">
      <c r="A4" s="2" t="s">
        <v>332</v>
      </c>
      <c r="B4" s="2" t="s">
        <v>331</v>
      </c>
      <c r="C4" s="2">
        <v>16</v>
      </c>
      <c r="D4" s="2">
        <v>3</v>
      </c>
      <c r="E4" s="2">
        <v>48</v>
      </c>
      <c r="F4" s="2">
        <v>96</v>
      </c>
      <c r="G4" s="2">
        <v>384</v>
      </c>
      <c r="H4" s="2">
        <v>13</v>
      </c>
      <c r="I4" s="2">
        <v>6</v>
      </c>
      <c r="J4" s="2">
        <v>2</v>
      </c>
      <c r="K4" s="2">
        <v>2</v>
      </c>
      <c r="L4" s="2">
        <v>3</v>
      </c>
      <c r="M4" s="2">
        <v>6</v>
      </c>
      <c r="N4" s="2">
        <v>480</v>
      </c>
      <c r="O4" s="2">
        <v>-0.49299999999999999</v>
      </c>
      <c r="P4" s="2">
        <v>-1102.5909999999999</v>
      </c>
      <c r="Q4" s="3">
        <v>10986</v>
      </c>
      <c r="R4" s="2">
        <v>501.8</v>
      </c>
      <c r="S4" s="3">
        <v>61816</v>
      </c>
      <c r="T4" s="3">
        <v>67757</v>
      </c>
      <c r="U4" s="3">
        <v>6144</v>
      </c>
      <c r="V4" s="2">
        <v>52</v>
      </c>
      <c r="W4" s="2">
        <v>161</v>
      </c>
      <c r="X4" s="2">
        <v>176.5</v>
      </c>
      <c r="Y4" s="2">
        <v>48.2</v>
      </c>
      <c r="Z4" s="2">
        <v>3.71</v>
      </c>
      <c r="AA4" s="2">
        <v>29.5</v>
      </c>
      <c r="AB4" s="2">
        <v>37.299999999999997</v>
      </c>
      <c r="AC4" s="2">
        <v>8</v>
      </c>
      <c r="AD4" s="2">
        <v>1.5</v>
      </c>
      <c r="AE4" s="2">
        <v>1.3460000000000001</v>
      </c>
      <c r="AF4" s="2">
        <v>0.89800000000000002</v>
      </c>
    </row>
    <row r="5" spans="1:32" x14ac:dyDescent="0.35">
      <c r="A5" s="2" t="s">
        <v>314</v>
      </c>
      <c r="B5" s="2" t="s">
        <v>330</v>
      </c>
      <c r="C5" s="2">
        <v>8</v>
      </c>
      <c r="D5" s="2">
        <v>8</v>
      </c>
      <c r="E5" s="2">
        <v>64</v>
      </c>
      <c r="F5" s="2">
        <v>128</v>
      </c>
      <c r="G5" s="2">
        <v>512</v>
      </c>
      <c r="H5" s="2">
        <v>17</v>
      </c>
      <c r="I5" s="2">
        <v>8</v>
      </c>
      <c r="J5" s="2">
        <v>3</v>
      </c>
      <c r="K5" s="2">
        <v>2</v>
      </c>
      <c r="L5" s="2">
        <v>4</v>
      </c>
      <c r="M5" s="2">
        <v>16</v>
      </c>
      <c r="N5" s="2">
        <v>640</v>
      </c>
      <c r="O5" s="2">
        <v>-0.72899999999999998</v>
      </c>
      <c r="P5" s="2">
        <v>-3867.29</v>
      </c>
      <c r="Q5" s="3">
        <v>20031</v>
      </c>
      <c r="R5" s="2">
        <v>448.6</v>
      </c>
      <c r="S5" s="3">
        <v>75197</v>
      </c>
      <c r="T5" s="3">
        <v>87235</v>
      </c>
      <c r="U5" s="3">
        <v>8192</v>
      </c>
      <c r="V5" s="2">
        <v>66</v>
      </c>
      <c r="W5" s="2">
        <v>146.9</v>
      </c>
      <c r="X5" s="2">
        <v>170.4</v>
      </c>
      <c r="Y5" s="2">
        <v>57.4</v>
      </c>
      <c r="Z5" s="2">
        <v>3.38</v>
      </c>
      <c r="AA5" s="2">
        <v>30.1</v>
      </c>
      <c r="AB5" s="2">
        <v>64.3</v>
      </c>
      <c r="AC5" s="2">
        <v>16.7</v>
      </c>
      <c r="AD5" s="2">
        <v>1.333</v>
      </c>
      <c r="AE5" s="2">
        <v>1.1910000000000001</v>
      </c>
      <c r="AF5" s="2">
        <v>0.89300000000000002</v>
      </c>
    </row>
    <row r="6" spans="1:32" x14ac:dyDescent="0.35">
      <c r="A6" s="2" t="s">
        <v>329</v>
      </c>
      <c r="B6" s="2" t="s">
        <v>326</v>
      </c>
      <c r="C6" s="2">
        <v>4</v>
      </c>
      <c r="D6" s="2">
        <v>24</v>
      </c>
      <c r="E6" s="2">
        <v>96</v>
      </c>
      <c r="F6" s="2">
        <v>192</v>
      </c>
      <c r="G6" s="2">
        <v>768</v>
      </c>
      <c r="H6" s="2">
        <v>24</v>
      </c>
      <c r="I6" s="2">
        <v>12</v>
      </c>
      <c r="J6" s="2">
        <v>4</v>
      </c>
      <c r="K6" s="2">
        <v>2</v>
      </c>
      <c r="L6" s="2">
        <v>6</v>
      </c>
      <c r="M6" s="2">
        <v>48</v>
      </c>
      <c r="N6" s="2">
        <v>960</v>
      </c>
      <c r="O6" s="2">
        <v>-0.95499999999999996</v>
      </c>
      <c r="P6" s="2">
        <v>-6811.9459999999999</v>
      </c>
      <c r="Q6" s="3">
        <v>28342</v>
      </c>
      <c r="R6" s="2">
        <v>407.3</v>
      </c>
      <c r="S6" s="3">
        <v>108231</v>
      </c>
      <c r="T6" s="3">
        <v>126378</v>
      </c>
      <c r="U6" s="3">
        <v>12288</v>
      </c>
      <c r="V6" s="2">
        <v>95</v>
      </c>
      <c r="W6" s="2">
        <v>140.9</v>
      </c>
      <c r="X6" s="2">
        <v>164.6</v>
      </c>
      <c r="Y6" s="2">
        <v>78.2</v>
      </c>
      <c r="Z6" s="2">
        <v>3.26</v>
      </c>
      <c r="AA6" s="2">
        <v>32</v>
      </c>
      <c r="AB6" s="2">
        <v>49</v>
      </c>
      <c r="AC6" s="2">
        <v>13.7</v>
      </c>
      <c r="AD6" s="2">
        <v>1.5</v>
      </c>
      <c r="AE6" s="2">
        <v>1.3620000000000001</v>
      </c>
      <c r="AF6" s="2">
        <v>0.90800000000000003</v>
      </c>
    </row>
    <row r="7" spans="1:32" x14ac:dyDescent="0.35">
      <c r="A7" s="2" t="s">
        <v>325</v>
      </c>
      <c r="B7" s="2" t="s">
        <v>322</v>
      </c>
      <c r="C7" s="2">
        <v>4</v>
      </c>
      <c r="D7" s="2">
        <v>32</v>
      </c>
      <c r="E7" s="2">
        <v>128</v>
      </c>
      <c r="F7" s="2">
        <v>256</v>
      </c>
      <c r="G7" s="3">
        <v>1024</v>
      </c>
      <c r="H7" s="2">
        <v>32</v>
      </c>
      <c r="I7" s="2">
        <v>16</v>
      </c>
      <c r="J7" s="2">
        <v>6</v>
      </c>
      <c r="K7" s="2">
        <v>2</v>
      </c>
      <c r="L7" s="2">
        <v>8</v>
      </c>
      <c r="M7" s="2">
        <v>64</v>
      </c>
      <c r="N7" s="3">
        <v>1280</v>
      </c>
      <c r="O7" s="2">
        <v>-1.3140000000000001</v>
      </c>
      <c r="P7" s="2">
        <v>-17217.438999999998</v>
      </c>
      <c r="Q7" s="3">
        <v>42177</v>
      </c>
      <c r="R7" s="2">
        <v>355.4</v>
      </c>
      <c r="S7" s="3">
        <v>143459</v>
      </c>
      <c r="T7" s="3">
        <v>167729</v>
      </c>
      <c r="U7" s="3">
        <v>16384</v>
      </c>
      <c r="V7" s="2">
        <v>125</v>
      </c>
      <c r="W7" s="2">
        <v>140.1</v>
      </c>
      <c r="X7" s="2">
        <v>163.80000000000001</v>
      </c>
      <c r="Y7" s="2">
        <v>91</v>
      </c>
      <c r="Z7" s="2">
        <v>2.84</v>
      </c>
      <c r="AA7" s="2">
        <v>32</v>
      </c>
      <c r="AB7" s="2">
        <v>10.199999999999999</v>
      </c>
      <c r="AC7" s="2">
        <v>3</v>
      </c>
      <c r="AD7" s="2">
        <v>1.333</v>
      </c>
      <c r="AE7" s="2">
        <v>1.1639999999999999</v>
      </c>
      <c r="AF7" s="2">
        <v>0.873</v>
      </c>
    </row>
  </sheetData>
  <autoFilter ref="A1:AF7" xr:uid="{00000000-0009-0000-0000-00000B000000}"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9BA7-5BE7-4596-9217-E087FE9DF7CA}">
  <sheetPr>
    <tabColor rgb="FF00B050"/>
  </sheetPr>
  <dimension ref="A1:AA19"/>
  <sheetViews>
    <sheetView topLeftCell="V1" zoomScale="70" zoomScaleNormal="70" workbookViewId="0">
      <pane ySplit="1" topLeftCell="A11" activePane="bottomLeft" state="frozen"/>
      <selection pane="bottomLeft" activeCell="AC23" sqref="AC23"/>
    </sheetView>
  </sheetViews>
  <sheetFormatPr defaultRowHeight="14.5" x14ac:dyDescent="0.35"/>
  <cols>
    <col min="1" max="4" width="10" customWidth="1"/>
    <col min="5" max="5" width="14" customWidth="1"/>
    <col min="6" max="6" width="16" customWidth="1"/>
    <col min="7" max="15" width="10" customWidth="1"/>
    <col min="16" max="16" width="12" customWidth="1"/>
    <col min="17" max="17" width="19" customWidth="1"/>
    <col min="18" max="20" width="10" customWidth="1"/>
    <col min="21" max="21" width="12" customWidth="1"/>
    <col min="22" max="22" width="11" customWidth="1"/>
    <col min="23" max="23" width="13" customWidth="1"/>
    <col min="24" max="25" width="12" customWidth="1"/>
    <col min="26" max="27" width="18" customWidth="1"/>
  </cols>
  <sheetData>
    <row r="1" spans="1:27" ht="30" customHeight="1" x14ac:dyDescent="0.35">
      <c r="A1" s="1" t="s">
        <v>290</v>
      </c>
      <c r="B1" s="1" t="s">
        <v>356</v>
      </c>
      <c r="C1" s="1" t="s">
        <v>291</v>
      </c>
      <c r="D1" s="1" t="s">
        <v>292</v>
      </c>
      <c r="E1" s="1" t="s">
        <v>294</v>
      </c>
      <c r="F1" s="1" t="s">
        <v>295</v>
      </c>
      <c r="G1" s="1" t="s">
        <v>355</v>
      </c>
      <c r="H1" s="1" t="s">
        <v>354</v>
      </c>
      <c r="I1" s="1" t="s">
        <v>353</v>
      </c>
      <c r="J1" s="1" t="s">
        <v>352</v>
      </c>
      <c r="K1" s="1" t="s">
        <v>351</v>
      </c>
      <c r="L1" s="1" t="s">
        <v>350</v>
      </c>
      <c r="M1" s="1" t="s">
        <v>349</v>
      </c>
      <c r="N1" s="1" t="s">
        <v>348</v>
      </c>
      <c r="O1" s="1" t="s">
        <v>296</v>
      </c>
      <c r="P1" s="1" t="s">
        <v>297</v>
      </c>
      <c r="Q1" s="1" t="s">
        <v>298</v>
      </c>
      <c r="R1" s="1" t="s">
        <v>300</v>
      </c>
      <c r="S1" s="1" t="s">
        <v>302</v>
      </c>
      <c r="T1" s="1" t="s">
        <v>304</v>
      </c>
      <c r="U1" s="1" t="s">
        <v>308</v>
      </c>
      <c r="V1" s="1" t="s">
        <v>310</v>
      </c>
      <c r="W1" s="1" t="s">
        <v>347</v>
      </c>
      <c r="X1" s="1" t="s">
        <v>346</v>
      </c>
      <c r="Y1" s="1" t="s">
        <v>345</v>
      </c>
      <c r="Z1" s="1" t="s">
        <v>344</v>
      </c>
      <c r="AA1" s="1" t="s">
        <v>343</v>
      </c>
    </row>
    <row r="2" spans="1:27" x14ac:dyDescent="0.35">
      <c r="A2" s="2" t="s">
        <v>342</v>
      </c>
      <c r="B2" s="2" t="s">
        <v>339</v>
      </c>
      <c r="C2" s="2">
        <v>4</v>
      </c>
      <c r="D2" s="2">
        <v>4</v>
      </c>
      <c r="E2" s="2">
        <v>16</v>
      </c>
      <c r="F2" s="2">
        <v>32</v>
      </c>
      <c r="G2" s="2">
        <v>128</v>
      </c>
      <c r="H2" s="2">
        <v>6</v>
      </c>
      <c r="I2" s="2">
        <v>2</v>
      </c>
      <c r="J2" s="2">
        <v>1</v>
      </c>
      <c r="K2" s="2">
        <v>2</v>
      </c>
      <c r="L2" s="2">
        <v>1</v>
      </c>
      <c r="M2" s="2">
        <v>8</v>
      </c>
      <c r="N2" s="2">
        <v>160</v>
      </c>
      <c r="O2" s="2">
        <v>-0.114</v>
      </c>
      <c r="P2" s="2">
        <v>-1.1930000000000001</v>
      </c>
      <c r="Q2" s="2">
        <v>31</v>
      </c>
      <c r="R2" s="2">
        <v>619.6</v>
      </c>
      <c r="S2" s="3">
        <v>20477</v>
      </c>
      <c r="T2" s="3">
        <v>22391</v>
      </c>
      <c r="U2" s="3">
        <v>2048</v>
      </c>
      <c r="V2" s="2">
        <v>23</v>
      </c>
      <c r="W2" s="2">
        <v>160</v>
      </c>
      <c r="X2" s="2">
        <v>174.9</v>
      </c>
      <c r="Y2" s="2">
        <v>19.8</v>
      </c>
      <c r="Z2" s="2">
        <v>3.3</v>
      </c>
      <c r="AA2" s="2">
        <v>21.3</v>
      </c>
    </row>
    <row r="3" spans="1:27" x14ac:dyDescent="0.35">
      <c r="A3" s="2" t="s">
        <v>341</v>
      </c>
      <c r="B3" s="2" t="s">
        <v>339</v>
      </c>
      <c r="C3" s="2">
        <v>8</v>
      </c>
      <c r="D3" s="2">
        <v>2</v>
      </c>
      <c r="E3" s="2">
        <v>16</v>
      </c>
      <c r="F3" s="2">
        <v>32</v>
      </c>
      <c r="G3" s="2">
        <v>128</v>
      </c>
      <c r="H3" s="2">
        <v>6</v>
      </c>
      <c r="I3" s="2">
        <v>2</v>
      </c>
      <c r="J3" s="2">
        <v>1</v>
      </c>
      <c r="K3" s="2">
        <v>2</v>
      </c>
      <c r="L3" s="2">
        <v>1</v>
      </c>
      <c r="M3" s="2">
        <v>4</v>
      </c>
      <c r="N3" s="2">
        <v>160</v>
      </c>
      <c r="O3" s="2">
        <v>-0.20399999999999999</v>
      </c>
      <c r="P3" s="2">
        <v>-11.342000000000001</v>
      </c>
      <c r="Q3" s="2">
        <v>285</v>
      </c>
      <c r="R3" s="2">
        <v>586.9</v>
      </c>
      <c r="S3" s="3">
        <v>22547</v>
      </c>
      <c r="T3" s="3">
        <v>24460</v>
      </c>
      <c r="U3" s="3">
        <v>2048</v>
      </c>
      <c r="V3" s="2">
        <v>23</v>
      </c>
      <c r="W3" s="2">
        <v>176.1</v>
      </c>
      <c r="X3" s="2">
        <v>191.1</v>
      </c>
      <c r="Y3" s="2">
        <v>18.8</v>
      </c>
      <c r="Z3" s="2">
        <v>3.13</v>
      </c>
      <c r="AA3" s="2">
        <v>21.3</v>
      </c>
    </row>
    <row r="4" spans="1:27" x14ac:dyDescent="0.35">
      <c r="A4" s="2" t="s">
        <v>340</v>
      </c>
      <c r="B4" s="2" t="s">
        <v>339</v>
      </c>
      <c r="C4" s="2">
        <v>16</v>
      </c>
      <c r="D4" s="2">
        <v>1</v>
      </c>
      <c r="E4" s="2">
        <v>16</v>
      </c>
      <c r="F4" s="2">
        <v>32</v>
      </c>
      <c r="G4" s="2">
        <v>128</v>
      </c>
      <c r="H4" s="2">
        <v>6</v>
      </c>
      <c r="I4" s="2">
        <v>2</v>
      </c>
      <c r="J4" s="2">
        <v>1</v>
      </c>
      <c r="K4" s="2">
        <v>2</v>
      </c>
      <c r="L4" s="2">
        <v>1</v>
      </c>
      <c r="M4" s="2">
        <v>2</v>
      </c>
      <c r="N4" s="2">
        <v>160</v>
      </c>
      <c r="O4" s="2">
        <v>-0.34799999999999998</v>
      </c>
      <c r="P4" s="2">
        <v>-253.928</v>
      </c>
      <c r="Q4" s="3">
        <v>4474</v>
      </c>
      <c r="R4" s="2">
        <v>541.1</v>
      </c>
      <c r="S4" s="3">
        <v>26718</v>
      </c>
      <c r="T4" s="3">
        <v>28647</v>
      </c>
      <c r="U4" s="3">
        <v>2048</v>
      </c>
      <c r="V4" s="2">
        <v>23</v>
      </c>
      <c r="W4" s="2">
        <v>208.7</v>
      </c>
      <c r="X4" s="2">
        <v>223.8</v>
      </c>
      <c r="Y4" s="2">
        <v>17.3</v>
      </c>
      <c r="Z4" s="2">
        <v>2.89</v>
      </c>
      <c r="AA4" s="2">
        <v>21.3</v>
      </c>
    </row>
    <row r="5" spans="1:27" x14ac:dyDescent="0.35">
      <c r="A5" s="2" t="s">
        <v>338</v>
      </c>
      <c r="B5" s="2" t="s">
        <v>335</v>
      </c>
      <c r="C5" s="2">
        <v>4</v>
      </c>
      <c r="D5" s="2">
        <v>8</v>
      </c>
      <c r="E5" s="2">
        <v>32</v>
      </c>
      <c r="F5" s="2">
        <v>64</v>
      </c>
      <c r="G5" s="2">
        <v>256</v>
      </c>
      <c r="H5" s="2">
        <v>10</v>
      </c>
      <c r="I5" s="2">
        <v>4</v>
      </c>
      <c r="J5" s="2">
        <v>2</v>
      </c>
      <c r="K5" s="2">
        <v>2</v>
      </c>
      <c r="L5" s="2">
        <v>2</v>
      </c>
      <c r="M5" s="2">
        <v>16</v>
      </c>
      <c r="N5" s="2">
        <v>320</v>
      </c>
      <c r="O5" s="2">
        <v>-0.56699999999999995</v>
      </c>
      <c r="P5" s="2">
        <v>-640.21600000000001</v>
      </c>
      <c r="Q5" s="3">
        <v>4502</v>
      </c>
      <c r="R5" s="2">
        <v>483.8</v>
      </c>
      <c r="S5" s="3">
        <v>38036</v>
      </c>
      <c r="T5" s="3">
        <v>43989</v>
      </c>
      <c r="U5" s="3">
        <v>4096</v>
      </c>
      <c r="V5" s="2">
        <v>37</v>
      </c>
      <c r="W5" s="2">
        <v>148.6</v>
      </c>
      <c r="X5" s="2">
        <v>171.8</v>
      </c>
      <c r="Y5" s="2">
        <v>31</v>
      </c>
      <c r="Z5" s="2">
        <v>3.1</v>
      </c>
      <c r="AA5" s="2">
        <v>25.6</v>
      </c>
    </row>
    <row r="6" spans="1:27" x14ac:dyDescent="0.35">
      <c r="A6" s="2" t="s">
        <v>337</v>
      </c>
      <c r="B6" s="2" t="s">
        <v>335</v>
      </c>
      <c r="C6" s="2">
        <v>8</v>
      </c>
      <c r="D6" s="2">
        <v>4</v>
      </c>
      <c r="E6" s="2">
        <v>32</v>
      </c>
      <c r="F6" s="2">
        <v>64</v>
      </c>
      <c r="G6" s="2">
        <v>256</v>
      </c>
      <c r="H6" s="2">
        <v>10</v>
      </c>
      <c r="I6" s="2">
        <v>4</v>
      </c>
      <c r="J6" s="2">
        <v>2</v>
      </c>
      <c r="K6" s="2">
        <v>2</v>
      </c>
      <c r="L6" s="2">
        <v>2</v>
      </c>
      <c r="M6" s="2">
        <v>8</v>
      </c>
      <c r="N6" s="2">
        <v>320</v>
      </c>
      <c r="O6" s="2">
        <v>-0.28599999999999998</v>
      </c>
      <c r="P6" s="2">
        <v>-91.28</v>
      </c>
      <c r="Q6" s="3">
        <v>1583</v>
      </c>
      <c r="R6" s="2">
        <v>559.9</v>
      </c>
      <c r="S6" s="3">
        <v>40106</v>
      </c>
      <c r="T6" s="3">
        <v>44005</v>
      </c>
      <c r="U6" s="3">
        <v>4096</v>
      </c>
      <c r="V6" s="2">
        <v>37</v>
      </c>
      <c r="W6" s="2">
        <v>156.69999999999999</v>
      </c>
      <c r="X6" s="2">
        <v>171.9</v>
      </c>
      <c r="Y6" s="2">
        <v>35.799999999999997</v>
      </c>
      <c r="Z6" s="2">
        <v>3.58</v>
      </c>
      <c r="AA6" s="2">
        <v>25.6</v>
      </c>
    </row>
    <row r="7" spans="1:27" x14ac:dyDescent="0.35">
      <c r="A7" s="2" t="s">
        <v>336</v>
      </c>
      <c r="B7" s="2" t="s">
        <v>335</v>
      </c>
      <c r="C7" s="2">
        <v>16</v>
      </c>
      <c r="D7" s="2">
        <v>2</v>
      </c>
      <c r="E7" s="2">
        <v>32</v>
      </c>
      <c r="F7" s="2">
        <v>64</v>
      </c>
      <c r="G7" s="2">
        <v>256</v>
      </c>
      <c r="H7" s="2">
        <v>10</v>
      </c>
      <c r="I7" s="2">
        <v>4</v>
      </c>
      <c r="J7" s="2">
        <v>2</v>
      </c>
      <c r="K7" s="2">
        <v>2</v>
      </c>
      <c r="L7" s="2">
        <v>2</v>
      </c>
      <c r="M7" s="2">
        <v>4</v>
      </c>
      <c r="N7" s="2">
        <v>320</v>
      </c>
      <c r="O7" s="2">
        <v>-0.51100000000000001</v>
      </c>
      <c r="P7" s="2">
        <v>-992.30600000000004</v>
      </c>
      <c r="Q7" s="3">
        <v>8392</v>
      </c>
      <c r="R7" s="2">
        <v>497.3</v>
      </c>
      <c r="S7" s="3">
        <v>44282</v>
      </c>
      <c r="T7" s="3">
        <v>48209</v>
      </c>
      <c r="U7" s="3">
        <v>4096</v>
      </c>
      <c r="V7" s="2">
        <v>37</v>
      </c>
      <c r="W7" s="2">
        <v>173</v>
      </c>
      <c r="X7" s="2">
        <v>188.3</v>
      </c>
      <c r="Y7" s="2">
        <v>31.8</v>
      </c>
      <c r="Z7" s="2">
        <v>3.18</v>
      </c>
      <c r="AA7" s="2">
        <v>25.6</v>
      </c>
    </row>
    <row r="8" spans="1:27" x14ac:dyDescent="0.35">
      <c r="A8" s="2" t="s">
        <v>334</v>
      </c>
      <c r="B8" s="2" t="s">
        <v>331</v>
      </c>
      <c r="C8" s="2">
        <v>4</v>
      </c>
      <c r="D8" s="2">
        <v>12</v>
      </c>
      <c r="E8" s="2">
        <v>48</v>
      </c>
      <c r="F8" s="2">
        <v>96</v>
      </c>
      <c r="G8" s="2">
        <v>384</v>
      </c>
      <c r="H8" s="2">
        <v>13</v>
      </c>
      <c r="I8" s="2">
        <v>6</v>
      </c>
      <c r="J8" s="2">
        <v>2</v>
      </c>
      <c r="K8" s="2">
        <v>2</v>
      </c>
      <c r="L8" s="2">
        <v>3</v>
      </c>
      <c r="M8" s="2">
        <v>24</v>
      </c>
      <c r="N8" s="2">
        <v>480</v>
      </c>
      <c r="O8" s="2">
        <v>-0.55900000000000005</v>
      </c>
      <c r="P8" s="2">
        <v>-503.39299999999997</v>
      </c>
      <c r="Q8" s="3">
        <v>4849</v>
      </c>
      <c r="R8" s="2">
        <v>485.7</v>
      </c>
      <c r="S8" s="3">
        <v>55548</v>
      </c>
      <c r="T8" s="3">
        <v>63510</v>
      </c>
      <c r="U8" s="3">
        <v>6144</v>
      </c>
      <c r="V8" s="2">
        <v>52</v>
      </c>
      <c r="W8" s="2">
        <v>144.69999999999999</v>
      </c>
      <c r="X8" s="2">
        <v>165.4</v>
      </c>
      <c r="Y8" s="2">
        <v>46.6</v>
      </c>
      <c r="Z8" s="2">
        <v>3.59</v>
      </c>
      <c r="AA8" s="2">
        <v>29.5</v>
      </c>
    </row>
    <row r="9" spans="1:27" x14ac:dyDescent="0.35">
      <c r="A9" s="2" t="s">
        <v>333</v>
      </c>
      <c r="B9" s="2" t="s">
        <v>331</v>
      </c>
      <c r="C9" s="2">
        <v>8</v>
      </c>
      <c r="D9" s="2">
        <v>6</v>
      </c>
      <c r="E9" s="2">
        <v>48</v>
      </c>
      <c r="F9" s="2">
        <v>96</v>
      </c>
      <c r="G9" s="2">
        <v>384</v>
      </c>
      <c r="H9" s="2">
        <v>13</v>
      </c>
      <c r="I9" s="2">
        <v>6</v>
      </c>
      <c r="J9" s="2">
        <v>2</v>
      </c>
      <c r="K9" s="2">
        <v>2</v>
      </c>
      <c r="L9" s="2">
        <v>3</v>
      </c>
      <c r="M9" s="2">
        <v>12</v>
      </c>
      <c r="N9" s="2">
        <v>480</v>
      </c>
      <c r="O9" s="2">
        <v>-0.65300000000000002</v>
      </c>
      <c r="P9" s="2">
        <v>-352.32100000000003</v>
      </c>
      <c r="Q9" s="3">
        <v>4380</v>
      </c>
      <c r="R9" s="2">
        <v>464.5</v>
      </c>
      <c r="S9" s="3">
        <v>57637</v>
      </c>
      <c r="T9" s="3">
        <v>63550</v>
      </c>
      <c r="U9" s="3">
        <v>6144</v>
      </c>
      <c r="V9" s="2">
        <v>52</v>
      </c>
      <c r="W9" s="2">
        <v>150.1</v>
      </c>
      <c r="X9" s="2">
        <v>165.5</v>
      </c>
      <c r="Y9" s="2">
        <v>44.6</v>
      </c>
      <c r="Z9" s="2">
        <v>3.43</v>
      </c>
      <c r="AA9" s="2">
        <v>29.5</v>
      </c>
    </row>
    <row r="10" spans="1:27" x14ac:dyDescent="0.35">
      <c r="A10" s="2" t="s">
        <v>332</v>
      </c>
      <c r="B10" s="2" t="s">
        <v>331</v>
      </c>
      <c r="C10" s="2">
        <v>16</v>
      </c>
      <c r="D10" s="2">
        <v>3</v>
      </c>
      <c r="E10" s="2">
        <v>48</v>
      </c>
      <c r="F10" s="2">
        <v>96</v>
      </c>
      <c r="G10" s="2">
        <v>384</v>
      </c>
      <c r="H10" s="2">
        <v>13</v>
      </c>
      <c r="I10" s="2">
        <v>6</v>
      </c>
      <c r="J10" s="2">
        <v>2</v>
      </c>
      <c r="K10" s="2">
        <v>2</v>
      </c>
      <c r="L10" s="2">
        <v>3</v>
      </c>
      <c r="M10" s="2">
        <v>6</v>
      </c>
      <c r="N10" s="2">
        <v>480</v>
      </c>
      <c r="O10" s="2">
        <v>-0.49299999999999999</v>
      </c>
      <c r="P10" s="2">
        <v>-1102.5909999999999</v>
      </c>
      <c r="Q10" s="3">
        <v>10986</v>
      </c>
      <c r="R10" s="2">
        <v>501.8</v>
      </c>
      <c r="S10" s="3">
        <v>61816</v>
      </c>
      <c r="T10" s="3">
        <v>67757</v>
      </c>
      <c r="U10" s="3">
        <v>6144</v>
      </c>
      <c r="V10" s="2">
        <v>52</v>
      </c>
      <c r="W10" s="2">
        <v>161</v>
      </c>
      <c r="X10" s="2">
        <v>176.5</v>
      </c>
      <c r="Y10" s="2">
        <v>48.2</v>
      </c>
      <c r="Z10" s="2">
        <v>3.71</v>
      </c>
      <c r="AA10" s="2">
        <v>29.5</v>
      </c>
    </row>
    <row r="11" spans="1:27" x14ac:dyDescent="0.35">
      <c r="A11" s="2" t="s">
        <v>313</v>
      </c>
      <c r="B11" s="2" t="s">
        <v>330</v>
      </c>
      <c r="C11" s="2">
        <v>4</v>
      </c>
      <c r="D11" s="2">
        <v>16</v>
      </c>
      <c r="E11" s="2">
        <v>64</v>
      </c>
      <c r="F11" s="2">
        <v>128</v>
      </c>
      <c r="G11" s="2">
        <v>512</v>
      </c>
      <c r="H11" s="2">
        <v>17</v>
      </c>
      <c r="I11" s="2">
        <v>8</v>
      </c>
      <c r="J11" s="2">
        <v>3</v>
      </c>
      <c r="K11" s="2">
        <v>2</v>
      </c>
      <c r="L11" s="2">
        <v>4</v>
      </c>
      <c r="M11" s="2">
        <v>32</v>
      </c>
      <c r="N11" s="2">
        <v>640</v>
      </c>
      <c r="O11" s="2">
        <v>-0.73099999999999998</v>
      </c>
      <c r="P11" s="2">
        <v>-2369.5309999999999</v>
      </c>
      <c r="Q11" s="3">
        <v>13016</v>
      </c>
      <c r="R11" s="2">
        <v>448.2</v>
      </c>
      <c r="S11" s="3">
        <v>73131</v>
      </c>
      <c r="T11" s="3">
        <v>85213</v>
      </c>
      <c r="U11" s="3">
        <v>8192</v>
      </c>
      <c r="V11" s="2">
        <v>66</v>
      </c>
      <c r="W11" s="2">
        <v>142.80000000000001</v>
      </c>
      <c r="X11" s="2">
        <v>166.4</v>
      </c>
      <c r="Y11" s="2">
        <v>57.4</v>
      </c>
      <c r="Z11" s="2">
        <v>3.37</v>
      </c>
      <c r="AA11" s="2">
        <v>30.1</v>
      </c>
    </row>
    <row r="12" spans="1:27" x14ac:dyDescent="0.35">
      <c r="A12" s="2" t="s">
        <v>314</v>
      </c>
      <c r="B12" s="2" t="s">
        <v>330</v>
      </c>
      <c r="C12" s="2">
        <v>8</v>
      </c>
      <c r="D12" s="2">
        <v>8</v>
      </c>
      <c r="E12" s="2">
        <v>64</v>
      </c>
      <c r="F12" s="2">
        <v>128</v>
      </c>
      <c r="G12" s="2">
        <v>512</v>
      </c>
      <c r="H12" s="2">
        <v>17</v>
      </c>
      <c r="I12" s="2">
        <v>8</v>
      </c>
      <c r="J12" s="2">
        <v>3</v>
      </c>
      <c r="K12" s="2">
        <v>2</v>
      </c>
      <c r="L12" s="2">
        <v>4</v>
      </c>
      <c r="M12" s="2">
        <v>16</v>
      </c>
      <c r="N12" s="2">
        <v>640</v>
      </c>
      <c r="O12" s="2">
        <v>-0.72899999999999998</v>
      </c>
      <c r="P12" s="2">
        <v>-3867.29</v>
      </c>
      <c r="Q12" s="3">
        <v>20031</v>
      </c>
      <c r="R12" s="2">
        <v>448.6</v>
      </c>
      <c r="S12" s="3">
        <v>75197</v>
      </c>
      <c r="T12" s="3">
        <v>87235</v>
      </c>
      <c r="U12" s="3">
        <v>8192</v>
      </c>
      <c r="V12" s="2">
        <v>66</v>
      </c>
      <c r="W12" s="2">
        <v>146.9</v>
      </c>
      <c r="X12" s="2">
        <v>170.4</v>
      </c>
      <c r="Y12" s="2">
        <v>57.4</v>
      </c>
      <c r="Z12" s="2">
        <v>3.38</v>
      </c>
      <c r="AA12" s="2">
        <v>30.1</v>
      </c>
    </row>
    <row r="13" spans="1:27" x14ac:dyDescent="0.35">
      <c r="A13" s="2" t="s">
        <v>315</v>
      </c>
      <c r="B13" s="2" t="s">
        <v>330</v>
      </c>
      <c r="C13" s="2">
        <v>16</v>
      </c>
      <c r="D13" s="2">
        <v>4</v>
      </c>
      <c r="E13" s="2">
        <v>64</v>
      </c>
      <c r="F13" s="2">
        <v>128</v>
      </c>
      <c r="G13" s="2">
        <v>512</v>
      </c>
      <c r="H13" s="2">
        <v>17</v>
      </c>
      <c r="I13" s="2">
        <v>8</v>
      </c>
      <c r="J13" s="2">
        <v>3</v>
      </c>
      <c r="K13" s="2">
        <v>2</v>
      </c>
      <c r="L13" s="2">
        <v>4</v>
      </c>
      <c r="M13" s="2">
        <v>8</v>
      </c>
      <c r="N13" s="2">
        <v>640</v>
      </c>
      <c r="O13" s="2">
        <v>-1.1020000000000001</v>
      </c>
      <c r="P13" s="2">
        <v>-7005.1719999999996</v>
      </c>
      <c r="Q13" s="3">
        <v>23609</v>
      </c>
      <c r="R13" s="2">
        <v>384.3</v>
      </c>
      <c r="S13" s="3">
        <v>79429</v>
      </c>
      <c r="T13" s="3">
        <v>87382</v>
      </c>
      <c r="U13" s="3">
        <v>8192</v>
      </c>
      <c r="V13" s="2">
        <v>66</v>
      </c>
      <c r="W13" s="2">
        <v>155.1</v>
      </c>
      <c r="X13" s="2">
        <v>170.7</v>
      </c>
      <c r="Y13" s="2">
        <v>49.2</v>
      </c>
      <c r="Z13" s="2">
        <v>2.89</v>
      </c>
      <c r="AA13" s="2">
        <v>30.1</v>
      </c>
    </row>
    <row r="14" spans="1:27" x14ac:dyDescent="0.35">
      <c r="A14" s="2" t="s">
        <v>329</v>
      </c>
      <c r="B14" s="2" t="s">
        <v>326</v>
      </c>
      <c r="C14" s="2">
        <v>4</v>
      </c>
      <c r="D14" s="2">
        <v>24</v>
      </c>
      <c r="E14" s="2">
        <v>96</v>
      </c>
      <c r="F14" s="2">
        <v>192</v>
      </c>
      <c r="G14" s="2">
        <v>768</v>
      </c>
      <c r="H14" s="2">
        <v>24</v>
      </c>
      <c r="I14" s="2">
        <v>12</v>
      </c>
      <c r="J14" s="2">
        <v>4</v>
      </c>
      <c r="K14" s="2">
        <v>2</v>
      </c>
      <c r="L14" s="2">
        <v>6</v>
      </c>
      <c r="M14" s="2">
        <v>48</v>
      </c>
      <c r="N14" s="2">
        <v>960</v>
      </c>
      <c r="O14" s="2">
        <v>-0.95499999999999996</v>
      </c>
      <c r="P14" s="2">
        <v>-6811.9459999999999</v>
      </c>
      <c r="Q14" s="3">
        <v>28342</v>
      </c>
      <c r="R14" s="2">
        <v>407.3</v>
      </c>
      <c r="S14" s="3">
        <v>108231</v>
      </c>
      <c r="T14" s="3">
        <v>126378</v>
      </c>
      <c r="U14" s="3">
        <v>12288</v>
      </c>
      <c r="V14" s="2">
        <v>95</v>
      </c>
      <c r="W14" s="2">
        <v>140.9</v>
      </c>
      <c r="X14" s="2">
        <v>164.6</v>
      </c>
      <c r="Y14" s="2">
        <v>78.2</v>
      </c>
      <c r="Z14" s="2">
        <v>3.26</v>
      </c>
      <c r="AA14" s="2">
        <v>32</v>
      </c>
    </row>
    <row r="15" spans="1:27" x14ac:dyDescent="0.35">
      <c r="A15" s="2" t="s">
        <v>328</v>
      </c>
      <c r="B15" s="2" t="s">
        <v>326</v>
      </c>
      <c r="C15" s="2">
        <v>8</v>
      </c>
      <c r="D15" s="2">
        <v>12</v>
      </c>
      <c r="E15" s="2">
        <v>96</v>
      </c>
      <c r="F15" s="2">
        <v>192</v>
      </c>
      <c r="G15" s="2">
        <v>768</v>
      </c>
      <c r="H15" s="2">
        <v>24</v>
      </c>
      <c r="I15" s="2">
        <v>12</v>
      </c>
      <c r="J15" s="2">
        <v>4</v>
      </c>
      <c r="K15" s="2">
        <v>2</v>
      </c>
      <c r="L15" s="2">
        <v>6</v>
      </c>
      <c r="M15" s="2">
        <v>24</v>
      </c>
      <c r="N15" s="2">
        <v>960</v>
      </c>
      <c r="O15" s="2">
        <v>-1.2909999999999999</v>
      </c>
      <c r="P15" s="2">
        <v>-9788.9629999999997</v>
      </c>
      <c r="Q15" s="3">
        <v>29397</v>
      </c>
      <c r="R15" s="2">
        <v>358.3</v>
      </c>
      <c r="S15" s="3">
        <v>110337</v>
      </c>
      <c r="T15" s="3">
        <v>126392</v>
      </c>
      <c r="U15" s="3">
        <v>12288</v>
      </c>
      <c r="V15" s="2">
        <v>95</v>
      </c>
      <c r="W15" s="2">
        <v>143.69999999999999</v>
      </c>
      <c r="X15" s="2">
        <v>164.6</v>
      </c>
      <c r="Y15" s="2">
        <v>68.8</v>
      </c>
      <c r="Z15" s="2">
        <v>2.87</v>
      </c>
      <c r="AA15" s="2">
        <v>32</v>
      </c>
    </row>
    <row r="16" spans="1:27" x14ac:dyDescent="0.35">
      <c r="A16" s="2" t="s">
        <v>327</v>
      </c>
      <c r="B16" s="2" t="s">
        <v>326</v>
      </c>
      <c r="C16" s="2">
        <v>16</v>
      </c>
      <c r="D16" s="2">
        <v>6</v>
      </c>
      <c r="E16" s="2">
        <v>96</v>
      </c>
      <c r="F16" s="2">
        <v>192</v>
      </c>
      <c r="G16" s="2">
        <v>768</v>
      </c>
      <c r="H16" s="2">
        <v>24</v>
      </c>
      <c r="I16" s="2">
        <v>12</v>
      </c>
      <c r="J16" s="2">
        <v>4</v>
      </c>
      <c r="K16" s="2">
        <v>2</v>
      </c>
      <c r="L16" s="2">
        <v>6</v>
      </c>
      <c r="M16" s="2">
        <v>12</v>
      </c>
      <c r="N16" s="2">
        <v>960</v>
      </c>
      <c r="O16" s="2">
        <v>-1.145</v>
      </c>
      <c r="P16" s="2">
        <v>-8437.9570000000003</v>
      </c>
      <c r="Q16" s="3">
        <v>27591</v>
      </c>
      <c r="R16" s="2">
        <v>378.1</v>
      </c>
      <c r="S16" s="3">
        <v>114487</v>
      </c>
      <c r="T16" s="3">
        <v>126444</v>
      </c>
      <c r="U16" s="3">
        <v>12288</v>
      </c>
      <c r="V16" s="2">
        <v>95</v>
      </c>
      <c r="W16" s="2">
        <v>149.1</v>
      </c>
      <c r="X16" s="2">
        <v>164.6</v>
      </c>
      <c r="Y16" s="2">
        <v>72.599999999999994</v>
      </c>
      <c r="Z16" s="2">
        <v>3.02</v>
      </c>
      <c r="AA16" s="2">
        <v>32</v>
      </c>
    </row>
    <row r="17" spans="1:27" x14ac:dyDescent="0.35">
      <c r="A17" s="2" t="s">
        <v>325</v>
      </c>
      <c r="B17" s="2" t="s">
        <v>322</v>
      </c>
      <c r="C17" s="2">
        <v>4</v>
      </c>
      <c r="D17" s="2">
        <v>32</v>
      </c>
      <c r="E17" s="2">
        <v>128</v>
      </c>
      <c r="F17" s="2">
        <v>256</v>
      </c>
      <c r="G17" s="3">
        <v>1024</v>
      </c>
      <c r="H17" s="2">
        <v>32</v>
      </c>
      <c r="I17" s="2">
        <v>16</v>
      </c>
      <c r="J17" s="2">
        <v>6</v>
      </c>
      <c r="K17" s="2">
        <v>2</v>
      </c>
      <c r="L17" s="2">
        <v>8</v>
      </c>
      <c r="M17" s="2">
        <v>64</v>
      </c>
      <c r="N17" s="3">
        <v>1280</v>
      </c>
      <c r="O17" s="2">
        <v>-1.3140000000000001</v>
      </c>
      <c r="P17" s="2">
        <v>-17217.438999999998</v>
      </c>
      <c r="Q17" s="3">
        <v>42177</v>
      </c>
      <c r="R17" s="2">
        <v>355.4</v>
      </c>
      <c r="S17" s="3">
        <v>143459</v>
      </c>
      <c r="T17" s="3">
        <v>167729</v>
      </c>
      <c r="U17" s="3">
        <v>16384</v>
      </c>
      <c r="V17" s="2">
        <v>125</v>
      </c>
      <c r="W17" s="2">
        <v>140.1</v>
      </c>
      <c r="X17" s="2">
        <v>163.80000000000001</v>
      </c>
      <c r="Y17" s="2">
        <v>91</v>
      </c>
      <c r="Z17" s="2">
        <v>2.84</v>
      </c>
      <c r="AA17" s="2">
        <v>32</v>
      </c>
    </row>
    <row r="18" spans="1:27" x14ac:dyDescent="0.35">
      <c r="A18" s="2" t="s">
        <v>324</v>
      </c>
      <c r="B18" s="2" t="s">
        <v>322</v>
      </c>
      <c r="C18" s="2">
        <v>8</v>
      </c>
      <c r="D18" s="2">
        <v>16</v>
      </c>
      <c r="E18" s="2">
        <v>128</v>
      </c>
      <c r="F18" s="2">
        <v>256</v>
      </c>
      <c r="G18" s="3">
        <v>1024</v>
      </c>
      <c r="H18" s="2">
        <v>32</v>
      </c>
      <c r="I18" s="2">
        <v>16</v>
      </c>
      <c r="J18" s="2">
        <v>6</v>
      </c>
      <c r="K18" s="2">
        <v>2</v>
      </c>
      <c r="L18" s="2">
        <v>8</v>
      </c>
      <c r="M18" s="2">
        <v>32</v>
      </c>
      <c r="N18" s="3">
        <v>1280</v>
      </c>
      <c r="O18" s="2">
        <v>-1.397</v>
      </c>
      <c r="P18" s="2">
        <v>-20169.605</v>
      </c>
      <c r="Q18" s="3">
        <v>43978</v>
      </c>
      <c r="R18" s="2">
        <v>345.2</v>
      </c>
      <c r="S18" s="3">
        <v>145465</v>
      </c>
      <c r="T18" s="3">
        <v>169753</v>
      </c>
      <c r="U18" s="3">
        <v>16384</v>
      </c>
      <c r="V18" s="2">
        <v>125</v>
      </c>
      <c r="W18" s="2">
        <v>142.1</v>
      </c>
      <c r="X18" s="2">
        <v>165.8</v>
      </c>
      <c r="Y18" s="2">
        <v>88.4</v>
      </c>
      <c r="Z18" s="2">
        <v>2.76</v>
      </c>
      <c r="AA18" s="2">
        <v>32</v>
      </c>
    </row>
    <row r="19" spans="1:27" x14ac:dyDescent="0.35">
      <c r="A19" s="2" t="s">
        <v>323</v>
      </c>
      <c r="B19" s="2" t="s">
        <v>322</v>
      </c>
      <c r="C19" s="2">
        <v>16</v>
      </c>
      <c r="D19" s="2">
        <v>8</v>
      </c>
      <c r="E19" s="2">
        <v>128</v>
      </c>
      <c r="F19" s="2">
        <v>256</v>
      </c>
      <c r="G19" s="3">
        <v>1024</v>
      </c>
      <c r="H19" s="2">
        <v>32</v>
      </c>
      <c r="I19" s="2">
        <v>16</v>
      </c>
      <c r="J19" s="2">
        <v>6</v>
      </c>
      <c r="K19" s="2">
        <v>2</v>
      </c>
      <c r="L19" s="2">
        <v>8</v>
      </c>
      <c r="M19" s="2">
        <v>16</v>
      </c>
      <c r="N19" s="3">
        <v>1280</v>
      </c>
      <c r="O19" s="2">
        <v>-1.339</v>
      </c>
      <c r="P19" s="2">
        <v>-23471.921999999999</v>
      </c>
      <c r="Q19" s="3">
        <v>53677</v>
      </c>
      <c r="R19" s="2">
        <v>352.2</v>
      </c>
      <c r="S19" s="3">
        <v>149553</v>
      </c>
      <c r="T19" s="3">
        <v>173711</v>
      </c>
      <c r="U19" s="3">
        <v>16384</v>
      </c>
      <c r="V19" s="2">
        <v>125</v>
      </c>
      <c r="W19" s="2">
        <v>146</v>
      </c>
      <c r="X19" s="2">
        <v>169.6</v>
      </c>
      <c r="Y19" s="2">
        <v>90.2</v>
      </c>
      <c r="Z19" s="2">
        <v>2.82</v>
      </c>
      <c r="AA19" s="2">
        <v>32</v>
      </c>
    </row>
  </sheetData>
  <autoFilter ref="A1:AA19" xr:uid="{00000000-0009-0000-0000-00000A000000}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19F3-4DA9-4B27-BBF7-39B180397459}">
  <sheetPr>
    <tabColor rgb="FF00B050"/>
  </sheetPr>
  <dimension ref="A1:U8"/>
  <sheetViews>
    <sheetView topLeftCell="G1" zoomScale="55" zoomScaleNormal="55" workbookViewId="0">
      <pane ySplit="1" topLeftCell="A2" activePane="bottomLeft" state="frozen"/>
      <selection pane="bottomLeft" activeCell="AC39" sqref="AC39"/>
    </sheetView>
  </sheetViews>
  <sheetFormatPr defaultRowHeight="14.5" x14ac:dyDescent="0.35"/>
  <cols>
    <col min="1" max="4" width="10" customWidth="1"/>
    <col min="5" max="5" width="14" customWidth="1"/>
    <col min="6" max="6" width="16" customWidth="1"/>
    <col min="7" max="7" width="10" customWidth="1"/>
    <col min="8" max="8" width="14" customWidth="1"/>
    <col min="9" max="9" width="19" customWidth="1"/>
    <col min="10" max="10" width="11" customWidth="1"/>
    <col min="11" max="11" width="10" customWidth="1"/>
    <col min="12" max="12" width="13" customWidth="1"/>
    <col min="13" max="13" width="10" customWidth="1"/>
    <col min="14" max="14" width="12" customWidth="1"/>
    <col min="15" max="15" width="10" customWidth="1"/>
    <col min="16" max="16" width="11" customWidth="1"/>
    <col min="17" max="17" width="10" customWidth="1"/>
    <col min="18" max="18" width="16" customWidth="1"/>
    <col min="19" max="19" width="12" customWidth="1"/>
    <col min="20" max="20" width="10" customWidth="1"/>
    <col min="21" max="21" width="11" customWidth="1"/>
  </cols>
  <sheetData>
    <row r="1" spans="1:21" ht="30" customHeight="1" x14ac:dyDescent="0.35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</row>
    <row r="2" spans="1:21" x14ac:dyDescent="0.35">
      <c r="A2" s="2" t="s">
        <v>311</v>
      </c>
      <c r="B2" s="2">
        <v>1</v>
      </c>
      <c r="C2" s="2">
        <v>64</v>
      </c>
      <c r="D2" s="2">
        <v>128</v>
      </c>
      <c r="E2" s="2">
        <v>64</v>
      </c>
      <c r="F2" s="2">
        <v>128</v>
      </c>
      <c r="G2" s="2">
        <v>-0.17100000000000001</v>
      </c>
      <c r="H2" s="2">
        <v>-1.6898880000000001</v>
      </c>
      <c r="I2" s="2">
        <v>25</v>
      </c>
      <c r="J2" s="2">
        <v>2.3929999999999998</v>
      </c>
      <c r="K2" s="2">
        <v>417.9</v>
      </c>
      <c r="L2" s="2">
        <v>0.94230000000000003</v>
      </c>
      <c r="M2" s="3">
        <v>71557</v>
      </c>
      <c r="N2" s="2">
        <v>0.95199999999999996</v>
      </c>
      <c r="O2" s="3">
        <v>83643</v>
      </c>
      <c r="P2" s="2">
        <v>0.95940000000000003</v>
      </c>
      <c r="Q2" s="3">
        <v>83643</v>
      </c>
      <c r="R2" s="2">
        <v>0</v>
      </c>
      <c r="S2" s="3">
        <v>8192</v>
      </c>
      <c r="T2" s="2">
        <v>512</v>
      </c>
      <c r="U2" s="2">
        <v>66</v>
      </c>
    </row>
    <row r="3" spans="1:21" x14ac:dyDescent="0.35">
      <c r="A3" s="2" t="s">
        <v>312</v>
      </c>
      <c r="B3" s="2">
        <v>2</v>
      </c>
      <c r="C3" s="2">
        <v>32</v>
      </c>
      <c r="D3" s="2">
        <v>64</v>
      </c>
      <c r="E3" s="2">
        <v>64</v>
      </c>
      <c r="F3" s="2">
        <v>128</v>
      </c>
      <c r="G3" s="2">
        <v>-7.8E-2</v>
      </c>
      <c r="H3" s="2">
        <v>-0.78710999999999998</v>
      </c>
      <c r="I3" s="2">
        <v>20</v>
      </c>
      <c r="J3" s="2">
        <v>2.2999999999999998</v>
      </c>
      <c r="K3" s="2">
        <v>434.8</v>
      </c>
      <c r="L3" s="2">
        <v>0.98040000000000005</v>
      </c>
      <c r="M3" s="3">
        <v>72083</v>
      </c>
      <c r="N3" s="2">
        <v>0.95899999999999996</v>
      </c>
      <c r="O3" s="3">
        <v>84163</v>
      </c>
      <c r="P3" s="2">
        <v>0.96540000000000004</v>
      </c>
      <c r="Q3" s="3">
        <v>84155</v>
      </c>
      <c r="R3" s="2">
        <v>8</v>
      </c>
      <c r="S3" s="3">
        <v>8192</v>
      </c>
      <c r="T3" s="2">
        <v>512</v>
      </c>
      <c r="U3" s="2">
        <v>66</v>
      </c>
    </row>
    <row r="4" spans="1:21" x14ac:dyDescent="0.35">
      <c r="A4" s="2" t="s">
        <v>313</v>
      </c>
      <c r="B4" s="2">
        <v>4</v>
      </c>
      <c r="C4" s="2">
        <v>16</v>
      </c>
      <c r="D4" s="2">
        <v>32</v>
      </c>
      <c r="E4" s="2">
        <v>64</v>
      </c>
      <c r="F4" s="2">
        <v>128</v>
      </c>
      <c r="G4" s="2">
        <v>-0.216</v>
      </c>
      <c r="H4" s="2">
        <v>-4.4400729999999999</v>
      </c>
      <c r="I4" s="2">
        <v>79</v>
      </c>
      <c r="J4" s="2">
        <v>2.4380000000000002</v>
      </c>
      <c r="K4" s="2">
        <v>410.2</v>
      </c>
      <c r="L4" s="2">
        <v>0.92490000000000006</v>
      </c>
      <c r="M4" s="3">
        <v>73137</v>
      </c>
      <c r="N4" s="2">
        <v>0.97299999999999998</v>
      </c>
      <c r="O4" s="3">
        <v>85216</v>
      </c>
      <c r="P4" s="2">
        <v>0.97750000000000004</v>
      </c>
      <c r="Q4" s="3">
        <v>85179</v>
      </c>
      <c r="R4" s="2">
        <v>37</v>
      </c>
      <c r="S4" s="3">
        <v>8192</v>
      </c>
      <c r="T4" s="2">
        <v>512</v>
      </c>
      <c r="U4" s="2">
        <v>66</v>
      </c>
    </row>
    <row r="5" spans="1:21" x14ac:dyDescent="0.35">
      <c r="A5" s="2" t="s">
        <v>314</v>
      </c>
      <c r="B5" s="2">
        <v>8</v>
      </c>
      <c r="C5" s="2">
        <v>8</v>
      </c>
      <c r="D5" s="2">
        <v>16</v>
      </c>
      <c r="E5" s="2">
        <v>64</v>
      </c>
      <c r="F5" s="2">
        <v>128</v>
      </c>
      <c r="G5" s="2">
        <v>-3.3000000000000002E-2</v>
      </c>
      <c r="H5" s="2">
        <v>-0.156198</v>
      </c>
      <c r="I5" s="2">
        <v>9</v>
      </c>
      <c r="J5" s="2">
        <v>2.2549999999999999</v>
      </c>
      <c r="K5" s="2">
        <v>443.5</v>
      </c>
      <c r="L5" s="2">
        <v>1</v>
      </c>
      <c r="M5" s="3">
        <v>75168</v>
      </c>
      <c r="N5" s="2">
        <v>1</v>
      </c>
      <c r="O5" s="3">
        <v>87181</v>
      </c>
      <c r="P5" s="2">
        <v>1</v>
      </c>
      <c r="Q5" s="3">
        <v>87227</v>
      </c>
      <c r="R5" s="2">
        <v>-46</v>
      </c>
      <c r="S5" s="3">
        <v>8192</v>
      </c>
      <c r="T5" s="2">
        <v>512</v>
      </c>
      <c r="U5" s="2">
        <v>66</v>
      </c>
    </row>
    <row r="6" spans="1:21" x14ac:dyDescent="0.35">
      <c r="A6" s="2" t="s">
        <v>315</v>
      </c>
      <c r="B6" s="2">
        <v>16</v>
      </c>
      <c r="C6" s="2">
        <v>4</v>
      </c>
      <c r="D6" s="2">
        <v>8</v>
      </c>
      <c r="E6" s="2">
        <v>64</v>
      </c>
      <c r="F6" s="2">
        <v>128</v>
      </c>
      <c r="G6" s="2">
        <v>-0.17299999999999999</v>
      </c>
      <c r="H6" s="2">
        <v>-1.6567689999999999</v>
      </c>
      <c r="I6" s="2">
        <v>50</v>
      </c>
      <c r="J6" s="2">
        <v>2.395</v>
      </c>
      <c r="K6" s="2">
        <v>417.5</v>
      </c>
      <c r="L6" s="2">
        <v>0.94140000000000001</v>
      </c>
      <c r="M6" s="3">
        <v>79303</v>
      </c>
      <c r="N6" s="2">
        <v>1.0549999999999999</v>
      </c>
      <c r="O6" s="3">
        <v>87239</v>
      </c>
      <c r="P6" s="2">
        <v>1.0006999999999999</v>
      </c>
      <c r="Q6" s="3">
        <v>91323</v>
      </c>
      <c r="R6" s="3">
        <v>-4084</v>
      </c>
      <c r="S6" s="3">
        <v>8192</v>
      </c>
      <c r="T6" s="2">
        <v>512</v>
      </c>
      <c r="U6" s="2">
        <v>66</v>
      </c>
    </row>
    <row r="7" spans="1:21" x14ac:dyDescent="0.35">
      <c r="A7" s="2" t="s">
        <v>316</v>
      </c>
      <c r="B7" s="2">
        <v>32</v>
      </c>
      <c r="C7" s="2">
        <v>2</v>
      </c>
      <c r="D7" s="2">
        <v>4</v>
      </c>
      <c r="E7" s="2">
        <v>64</v>
      </c>
      <c r="F7" s="2">
        <v>128</v>
      </c>
      <c r="G7" s="2">
        <v>-0.29299999999999998</v>
      </c>
      <c r="H7" s="2">
        <v>-8.4715819999999997</v>
      </c>
      <c r="I7" s="2">
        <v>117</v>
      </c>
      <c r="J7" s="2">
        <v>2.5150000000000001</v>
      </c>
      <c r="K7" s="2">
        <v>397.6</v>
      </c>
      <c r="L7" s="2">
        <v>0.89649999999999996</v>
      </c>
      <c r="M7" s="3">
        <v>87643</v>
      </c>
      <c r="N7" s="2">
        <v>1.1659999999999999</v>
      </c>
      <c r="O7" s="3">
        <v>95603</v>
      </c>
      <c r="P7" s="2">
        <v>1.0966</v>
      </c>
      <c r="Q7" s="3">
        <v>99515</v>
      </c>
      <c r="R7" s="3">
        <v>-3912</v>
      </c>
      <c r="S7" s="3">
        <v>8192</v>
      </c>
      <c r="T7" s="2">
        <v>512</v>
      </c>
      <c r="U7" s="2">
        <v>66</v>
      </c>
    </row>
    <row r="8" spans="1:21" x14ac:dyDescent="0.35">
      <c r="A8" s="2" t="s">
        <v>317</v>
      </c>
      <c r="B8" s="2">
        <v>64</v>
      </c>
      <c r="C8" s="2">
        <v>1</v>
      </c>
      <c r="D8" s="2">
        <v>2</v>
      </c>
      <c r="E8" s="2">
        <v>64</v>
      </c>
      <c r="F8" s="2">
        <v>128</v>
      </c>
      <c r="G8" s="2">
        <v>-0.43099999999999999</v>
      </c>
      <c r="H8" s="2">
        <v>-2497.4030760000001</v>
      </c>
      <c r="I8" s="3">
        <v>17457</v>
      </c>
      <c r="J8" s="2">
        <v>2.653</v>
      </c>
      <c r="K8" s="2">
        <v>376.9</v>
      </c>
      <c r="L8" s="2">
        <v>0.8498</v>
      </c>
      <c r="M8" s="3">
        <v>104041</v>
      </c>
      <c r="N8" s="2">
        <v>1.3841000000000001</v>
      </c>
      <c r="O8" s="3">
        <v>112043</v>
      </c>
      <c r="P8" s="2">
        <v>1.2851999999999999</v>
      </c>
      <c r="Q8" s="3">
        <v>115899</v>
      </c>
      <c r="R8" s="3">
        <v>-3856</v>
      </c>
      <c r="S8" s="3">
        <v>8192</v>
      </c>
      <c r="T8" s="2">
        <v>512</v>
      </c>
      <c r="U8" s="2">
        <v>66</v>
      </c>
    </row>
  </sheetData>
  <autoFilter ref="A1:U8" xr:uid="{00000000-0009-0000-0000-000009000000}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1DBB-4CA2-4427-99B7-C15CA9F1F635}">
  <dimension ref="A1:Q14"/>
  <sheetViews>
    <sheetView zoomScale="40" zoomScaleNormal="40" workbookViewId="0">
      <pane ySplit="1" topLeftCell="A2" activePane="bottomLeft" state="frozen"/>
      <selection pane="bottomLeft" activeCell="C22" sqref="C22"/>
    </sheetView>
  </sheetViews>
  <sheetFormatPr defaultRowHeight="14.5" x14ac:dyDescent="0.35"/>
  <cols>
    <col min="1" max="1" width="11" customWidth="1"/>
    <col min="2" max="2" width="12" customWidth="1"/>
    <col min="3" max="3" width="21" customWidth="1"/>
    <col min="4" max="4" width="18" customWidth="1"/>
    <col min="5" max="5" width="11" customWidth="1"/>
    <col min="6" max="6" width="12" customWidth="1"/>
    <col min="7" max="8" width="15" customWidth="1"/>
    <col min="9" max="10" width="17" customWidth="1"/>
    <col min="11" max="12" width="21" customWidth="1"/>
    <col min="13" max="13" width="19" customWidth="1"/>
    <col min="14" max="15" width="22" customWidth="1"/>
    <col min="16" max="16" width="20" customWidth="1"/>
    <col min="17" max="17" width="30" customWidth="1"/>
  </cols>
  <sheetData>
    <row r="1" spans="1:17" ht="30" customHeight="1" x14ac:dyDescent="0.3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194</v>
      </c>
    </row>
    <row r="2" spans="1:17" x14ac:dyDescent="0.35">
      <c r="A2" s="2">
        <v>1</v>
      </c>
      <c r="B2" s="2" t="s">
        <v>66</v>
      </c>
      <c r="C2" s="2" t="s">
        <v>259</v>
      </c>
      <c r="D2" s="2" t="s">
        <v>260</v>
      </c>
      <c r="E2" s="3">
        <v>13651000</v>
      </c>
      <c r="F2" s="2">
        <v>1.87</v>
      </c>
      <c r="G2" s="2">
        <v>0.36699999999999999</v>
      </c>
      <c r="H2" s="2">
        <v>0.33739999999999998</v>
      </c>
      <c r="I2" s="2">
        <v>5.0949999999999998</v>
      </c>
      <c r="J2" s="2">
        <v>5.5430000000000001</v>
      </c>
      <c r="K2" s="2">
        <v>4.93</v>
      </c>
      <c r="L2" s="2">
        <v>5.3630000000000004</v>
      </c>
      <c r="M2" s="2">
        <v>0.25569999999999998</v>
      </c>
      <c r="N2" s="2">
        <v>0.96870000000000001</v>
      </c>
      <c r="O2" s="2">
        <v>0.97260000000000002</v>
      </c>
      <c r="P2" s="2">
        <v>3.24</v>
      </c>
      <c r="Q2" s="2" t="s">
        <v>261</v>
      </c>
    </row>
    <row r="3" spans="1:17" x14ac:dyDescent="0.35">
      <c r="A3" s="2">
        <v>2</v>
      </c>
      <c r="B3" s="2" t="s">
        <v>68</v>
      </c>
      <c r="C3" s="2" t="s">
        <v>262</v>
      </c>
      <c r="D3" s="2" t="s">
        <v>263</v>
      </c>
      <c r="E3" s="3">
        <v>14149020</v>
      </c>
      <c r="F3" s="2">
        <v>0.93</v>
      </c>
      <c r="G3" s="2">
        <v>0.38040000000000002</v>
      </c>
      <c r="H3" s="2">
        <v>0.34970000000000001</v>
      </c>
      <c r="I3" s="2">
        <v>2.4449999999999998</v>
      </c>
      <c r="J3" s="2">
        <v>2.6589999999999998</v>
      </c>
      <c r="K3" s="2">
        <v>2.351</v>
      </c>
      <c r="L3" s="2">
        <v>2.5569999999999999</v>
      </c>
      <c r="M3" s="2">
        <v>0.53300000000000003</v>
      </c>
      <c r="N3" s="2">
        <v>0.96870000000000001</v>
      </c>
      <c r="O3" s="2">
        <v>0.97260000000000002</v>
      </c>
      <c r="P3" s="2">
        <v>3.85</v>
      </c>
      <c r="Q3" s="2" t="s">
        <v>261</v>
      </c>
    </row>
    <row r="4" spans="1:17" x14ac:dyDescent="0.35">
      <c r="A4" s="2">
        <v>3</v>
      </c>
      <c r="B4" s="2" t="s">
        <v>70</v>
      </c>
      <c r="C4" s="2" t="s">
        <v>264</v>
      </c>
      <c r="D4" s="2" t="s">
        <v>265</v>
      </c>
      <c r="E4" s="3">
        <v>15007682</v>
      </c>
      <c r="F4" s="2">
        <v>0.85299999999999998</v>
      </c>
      <c r="G4" s="2">
        <v>0.40350000000000003</v>
      </c>
      <c r="H4" s="2">
        <v>0.37090000000000001</v>
      </c>
      <c r="I4" s="2">
        <v>2.1139999999999999</v>
      </c>
      <c r="J4" s="2">
        <v>2.2999999999999998</v>
      </c>
      <c r="K4" s="2">
        <v>1.8560000000000001</v>
      </c>
      <c r="L4" s="2">
        <v>2.0190000000000001</v>
      </c>
      <c r="M4" s="2">
        <v>0.61639999999999995</v>
      </c>
      <c r="N4" s="2">
        <v>0.96870000000000001</v>
      </c>
      <c r="O4" s="2">
        <v>0.97260000000000002</v>
      </c>
      <c r="P4" s="2">
        <v>12.22</v>
      </c>
      <c r="Q4" s="2" t="s">
        <v>261</v>
      </c>
    </row>
    <row r="5" spans="1:17" x14ac:dyDescent="0.35">
      <c r="A5" s="2">
        <v>4</v>
      </c>
      <c r="B5" s="2" t="s">
        <v>72</v>
      </c>
      <c r="C5" s="2" t="s">
        <v>266</v>
      </c>
      <c r="D5" s="2" t="s">
        <v>267</v>
      </c>
      <c r="E5" s="3">
        <v>16165120</v>
      </c>
      <c r="F5" s="2">
        <v>0.73</v>
      </c>
      <c r="G5" s="2">
        <v>0.43459999999999999</v>
      </c>
      <c r="H5" s="2">
        <v>0.39950000000000002</v>
      </c>
      <c r="I5" s="2">
        <v>1.68</v>
      </c>
      <c r="J5" s="2">
        <v>1.827</v>
      </c>
      <c r="K5" s="2">
        <v>1.631</v>
      </c>
      <c r="L5" s="2">
        <v>1.774</v>
      </c>
      <c r="M5" s="2">
        <v>0.77580000000000005</v>
      </c>
      <c r="N5" s="2">
        <v>0.96870000000000001</v>
      </c>
      <c r="O5" s="2">
        <v>0.97260000000000002</v>
      </c>
      <c r="P5" s="2">
        <v>2.93</v>
      </c>
      <c r="Q5" s="2" t="s">
        <v>261</v>
      </c>
    </row>
    <row r="6" spans="1:17" x14ac:dyDescent="0.35">
      <c r="A6" s="2">
        <v>5</v>
      </c>
      <c r="B6" s="2" t="s">
        <v>74</v>
      </c>
      <c r="C6" s="2" t="s">
        <v>268</v>
      </c>
      <c r="D6" s="2" t="s">
        <v>269</v>
      </c>
      <c r="E6" s="3">
        <v>27535630</v>
      </c>
      <c r="F6" s="2">
        <v>1.37</v>
      </c>
      <c r="G6" s="2">
        <v>0.74029999999999996</v>
      </c>
      <c r="H6" s="2">
        <v>0.68049999999999999</v>
      </c>
      <c r="I6" s="2">
        <v>1.851</v>
      </c>
      <c r="J6" s="2">
        <v>2.0129999999999999</v>
      </c>
      <c r="K6" s="2">
        <v>1.5649999999999999</v>
      </c>
      <c r="L6" s="2">
        <v>1.7030000000000001</v>
      </c>
      <c r="M6" s="2">
        <v>0.70409999999999995</v>
      </c>
      <c r="N6" s="2">
        <v>0.96870000000000001</v>
      </c>
      <c r="O6" s="2">
        <v>0.97260000000000002</v>
      </c>
      <c r="P6" s="2">
        <v>15.43</v>
      </c>
      <c r="Q6" s="2" t="s">
        <v>261</v>
      </c>
    </row>
    <row r="7" spans="1:17" x14ac:dyDescent="0.35">
      <c r="A7" s="2">
        <v>6</v>
      </c>
      <c r="B7" s="2" t="s">
        <v>76</v>
      </c>
      <c r="C7" s="2" t="s">
        <v>270</v>
      </c>
      <c r="D7" s="2" t="s">
        <v>271</v>
      </c>
      <c r="E7" s="3">
        <v>28904260</v>
      </c>
      <c r="F7" s="2">
        <v>1.37</v>
      </c>
      <c r="G7" s="2">
        <v>0.77710000000000001</v>
      </c>
      <c r="H7" s="2">
        <v>0.71440000000000003</v>
      </c>
      <c r="I7" s="2">
        <v>1.7629999999999999</v>
      </c>
      <c r="J7" s="2">
        <v>1.9179999999999999</v>
      </c>
      <c r="K7" s="2">
        <v>1.7310000000000001</v>
      </c>
      <c r="L7" s="2">
        <v>1.8819999999999999</v>
      </c>
      <c r="M7" s="2">
        <v>0.73909999999999998</v>
      </c>
      <c r="N7" s="2">
        <v>0.96870000000000001</v>
      </c>
      <c r="O7" s="2">
        <v>0.97260000000000002</v>
      </c>
      <c r="P7" s="2">
        <v>1.85</v>
      </c>
      <c r="Q7" s="2" t="s">
        <v>261</v>
      </c>
    </row>
    <row r="8" spans="1:17" x14ac:dyDescent="0.35">
      <c r="A8" s="2">
        <v>7</v>
      </c>
      <c r="B8" s="2" t="s">
        <v>78</v>
      </c>
      <c r="C8" s="2" t="s">
        <v>272</v>
      </c>
      <c r="D8" s="2" t="s">
        <v>273</v>
      </c>
      <c r="E8" s="3">
        <v>30654640</v>
      </c>
      <c r="F8" s="2">
        <v>4.5199999999999996</v>
      </c>
      <c r="G8" s="2">
        <v>0.82410000000000005</v>
      </c>
      <c r="H8" s="2">
        <v>0.75760000000000005</v>
      </c>
      <c r="I8" s="2">
        <v>5.4850000000000003</v>
      </c>
      <c r="J8" s="2">
        <v>5.9660000000000002</v>
      </c>
      <c r="K8" s="2">
        <v>4.3760000000000003</v>
      </c>
      <c r="L8" s="2">
        <v>4.76</v>
      </c>
      <c r="M8" s="2">
        <v>0.23760000000000001</v>
      </c>
      <c r="N8" s="2">
        <v>0.96870000000000001</v>
      </c>
      <c r="O8" s="2">
        <v>0.97260000000000002</v>
      </c>
      <c r="P8" s="2">
        <v>20.21</v>
      </c>
      <c r="Q8" s="2" t="s">
        <v>261</v>
      </c>
    </row>
    <row r="9" spans="1:17" x14ac:dyDescent="0.35">
      <c r="A9" s="2">
        <v>8</v>
      </c>
      <c r="B9" s="2" t="s">
        <v>80</v>
      </c>
      <c r="C9" s="2" t="s">
        <v>274</v>
      </c>
      <c r="D9" s="2" t="s">
        <v>275</v>
      </c>
      <c r="E9" s="3">
        <v>32027160</v>
      </c>
      <c r="F9" s="2">
        <v>2.09</v>
      </c>
      <c r="G9" s="2">
        <v>0.86099999999999999</v>
      </c>
      <c r="H9" s="2">
        <v>0.79159999999999997</v>
      </c>
      <c r="I9" s="2">
        <v>2.427</v>
      </c>
      <c r="J9" s="2">
        <v>2.64</v>
      </c>
      <c r="K9" s="2">
        <v>2.145</v>
      </c>
      <c r="L9" s="2">
        <v>2.3330000000000002</v>
      </c>
      <c r="M9" s="2">
        <v>0.53690000000000004</v>
      </c>
      <c r="N9" s="2">
        <v>0.96870000000000001</v>
      </c>
      <c r="O9" s="2">
        <v>0.97260000000000002</v>
      </c>
      <c r="P9" s="2">
        <v>11.64</v>
      </c>
      <c r="Q9" s="2" t="s">
        <v>261</v>
      </c>
    </row>
    <row r="10" spans="1:17" x14ac:dyDescent="0.35">
      <c r="A10" s="2">
        <v>9</v>
      </c>
      <c r="B10" s="2" t="s">
        <v>82</v>
      </c>
      <c r="C10" s="2" t="s">
        <v>276</v>
      </c>
      <c r="D10" s="2" t="s">
        <v>277</v>
      </c>
      <c r="E10" s="3">
        <v>37191100</v>
      </c>
      <c r="F10" s="2">
        <v>2.0499999999999998</v>
      </c>
      <c r="G10" s="2">
        <v>0.99980000000000002</v>
      </c>
      <c r="H10" s="2">
        <v>0.91920000000000002</v>
      </c>
      <c r="I10" s="2">
        <v>2.0499999999999998</v>
      </c>
      <c r="J10" s="2">
        <v>2.23</v>
      </c>
      <c r="K10" s="2">
        <v>1.6339999999999999</v>
      </c>
      <c r="L10" s="2">
        <v>1.7769999999999999</v>
      </c>
      <c r="M10" s="2">
        <v>0.63560000000000005</v>
      </c>
      <c r="N10" s="2">
        <v>0.96870000000000001</v>
      </c>
      <c r="O10" s="2">
        <v>0.97260000000000002</v>
      </c>
      <c r="P10" s="2">
        <v>20.32</v>
      </c>
      <c r="Q10" s="2" t="s">
        <v>261</v>
      </c>
    </row>
    <row r="11" spans="1:17" x14ac:dyDescent="0.35">
      <c r="A11" s="2">
        <v>10</v>
      </c>
      <c r="B11" s="2" t="s">
        <v>84</v>
      </c>
      <c r="C11" s="2" t="s">
        <v>278</v>
      </c>
      <c r="D11" s="2" t="s">
        <v>279</v>
      </c>
      <c r="E11" s="3">
        <v>42527880</v>
      </c>
      <c r="F11" s="2">
        <v>2.04</v>
      </c>
      <c r="G11" s="2">
        <v>1.1433</v>
      </c>
      <c r="H11" s="2">
        <v>1.0510999999999999</v>
      </c>
      <c r="I11" s="2">
        <v>1.784</v>
      </c>
      <c r="J11" s="2">
        <v>1.9410000000000001</v>
      </c>
      <c r="K11" s="2">
        <v>1.502</v>
      </c>
      <c r="L11" s="2">
        <v>1.6339999999999999</v>
      </c>
      <c r="M11" s="2">
        <v>0.73029999999999995</v>
      </c>
      <c r="N11" s="2">
        <v>0.96870000000000001</v>
      </c>
      <c r="O11" s="2">
        <v>0.97260000000000002</v>
      </c>
      <c r="P11" s="2">
        <v>15.83</v>
      </c>
      <c r="Q11" s="2" t="s">
        <v>261</v>
      </c>
    </row>
    <row r="12" spans="1:17" x14ac:dyDescent="0.35">
      <c r="A12" s="2">
        <v>11</v>
      </c>
      <c r="B12" s="2" t="s">
        <v>86</v>
      </c>
      <c r="C12" s="2" t="s">
        <v>280</v>
      </c>
      <c r="D12" s="2" t="s">
        <v>281</v>
      </c>
      <c r="E12" s="3">
        <v>112691200</v>
      </c>
      <c r="F12" s="2">
        <v>6.2</v>
      </c>
      <c r="G12" s="2">
        <v>3.0295999999999998</v>
      </c>
      <c r="H12" s="2">
        <v>2.7852000000000001</v>
      </c>
      <c r="I12" s="2">
        <v>2.0459999999999998</v>
      </c>
      <c r="J12" s="2">
        <v>2.226</v>
      </c>
      <c r="K12" s="2">
        <v>1.849</v>
      </c>
      <c r="L12" s="2">
        <v>2.0110000000000001</v>
      </c>
      <c r="M12" s="2">
        <v>0.63680000000000003</v>
      </c>
      <c r="N12" s="2">
        <v>0.96870000000000001</v>
      </c>
      <c r="O12" s="2">
        <v>0.97260000000000002</v>
      </c>
      <c r="P12" s="2">
        <v>9.67</v>
      </c>
      <c r="Q12" s="2" t="s">
        <v>261</v>
      </c>
    </row>
    <row r="13" spans="1:17" x14ac:dyDescent="0.35">
      <c r="A13" s="2">
        <v>12</v>
      </c>
      <c r="B13" s="2" t="s">
        <v>282</v>
      </c>
      <c r="C13" s="2" t="s">
        <v>283</v>
      </c>
      <c r="D13" s="2" t="s">
        <v>284</v>
      </c>
      <c r="E13" s="3">
        <v>123650800</v>
      </c>
      <c r="F13" s="2">
        <v>6.32</v>
      </c>
      <c r="G13" s="2">
        <v>3.3241999999999998</v>
      </c>
      <c r="H13" s="2">
        <v>3.056</v>
      </c>
      <c r="I13" s="2">
        <v>1.901</v>
      </c>
      <c r="J13" s="2">
        <v>2.0680000000000001</v>
      </c>
      <c r="K13" s="2">
        <v>1.488</v>
      </c>
      <c r="L13" s="2">
        <v>1.619</v>
      </c>
      <c r="M13" s="2">
        <v>0.68540000000000001</v>
      </c>
      <c r="N13" s="2">
        <v>0.96870000000000001</v>
      </c>
      <c r="O13" s="2">
        <v>0.97260000000000002</v>
      </c>
      <c r="P13" s="2">
        <v>21.73</v>
      </c>
      <c r="Q13" s="2" t="s">
        <v>261</v>
      </c>
    </row>
    <row r="14" spans="1:17" x14ac:dyDescent="0.35">
      <c r="A14" s="2">
        <v>13</v>
      </c>
      <c r="B14" s="2" t="s">
        <v>88</v>
      </c>
      <c r="C14" s="2" t="s">
        <v>88</v>
      </c>
      <c r="I14" s="2">
        <v>2.343</v>
      </c>
      <c r="J14" s="2">
        <v>2.548</v>
      </c>
      <c r="K14" s="2">
        <v>2.0649999999999999</v>
      </c>
      <c r="L14" s="2">
        <v>2.246</v>
      </c>
      <c r="M14" s="2">
        <v>0.55620000000000003</v>
      </c>
      <c r="N14" s="2">
        <v>0.96870000000000001</v>
      </c>
      <c r="O14" s="2">
        <v>0.97260000000000002</v>
      </c>
      <c r="Q14" s="2" t="s">
        <v>261</v>
      </c>
    </row>
  </sheetData>
  <autoFilter ref="A1:Q14" xr:uid="{00000000-0009-0000-0000-000009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FECF-26AD-455E-9E01-4623518B7227}">
  <sheetPr>
    <tabColor rgb="FFFFFF00"/>
  </sheetPr>
  <dimension ref="A1:V67"/>
  <sheetViews>
    <sheetView topLeftCell="L1" zoomScale="40" zoomScaleNormal="40" workbookViewId="0">
      <pane ySplit="1" topLeftCell="A2" activePane="bottomLeft" state="frozen"/>
      <selection pane="bottomLeft" activeCell="AP76" sqref="AP76"/>
    </sheetView>
  </sheetViews>
  <sheetFormatPr defaultRowHeight="14.5" x14ac:dyDescent="0.35"/>
  <cols>
    <col min="1" max="2" width="10" customWidth="1"/>
    <col min="3" max="3" width="16" customWidth="1"/>
    <col min="4" max="4" width="10" customWidth="1"/>
    <col min="5" max="5" width="13" customWidth="1"/>
    <col min="6" max="6" width="12" customWidth="1"/>
    <col min="7" max="7" width="17" customWidth="1"/>
    <col min="8" max="9" width="10" customWidth="1"/>
    <col min="10" max="10" width="23" customWidth="1"/>
    <col min="11" max="12" width="14" customWidth="1"/>
    <col min="13" max="13" width="17" customWidth="1"/>
    <col min="14" max="14" width="18" customWidth="1"/>
    <col min="15" max="15" width="19" customWidth="1"/>
    <col min="16" max="16" width="17" customWidth="1"/>
    <col min="17" max="18" width="30" customWidth="1"/>
    <col min="19" max="19" width="29" customWidth="1"/>
    <col min="20" max="20" width="12" customWidth="1"/>
    <col min="21" max="21" width="17" customWidth="1"/>
    <col min="22" max="22" width="18" customWidth="1"/>
  </cols>
  <sheetData>
    <row r="1" spans="1:22" ht="30" customHeight="1" x14ac:dyDescent="0.35">
      <c r="A1" s="1" t="s">
        <v>0</v>
      </c>
      <c r="B1" s="1" t="s">
        <v>2</v>
      </c>
      <c r="C1" s="1" t="s">
        <v>3</v>
      </c>
      <c r="D1" s="1" t="s">
        <v>54</v>
      </c>
      <c r="E1" s="1" t="s">
        <v>57</v>
      </c>
      <c r="F1" s="1" t="s">
        <v>55</v>
      </c>
      <c r="G1" s="1" t="s">
        <v>56</v>
      </c>
      <c r="H1" s="1" t="s">
        <v>6</v>
      </c>
      <c r="I1" s="1" t="s">
        <v>7</v>
      </c>
      <c r="J1" s="1" t="s">
        <v>61</v>
      </c>
      <c r="K1" s="1" t="s">
        <v>91</v>
      </c>
      <c r="L1" s="1" t="s">
        <v>92</v>
      </c>
      <c r="M1" s="1" t="s">
        <v>93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18</v>
      </c>
    </row>
    <row r="2" spans="1:22" x14ac:dyDescent="0.35">
      <c r="A2" s="2" t="s">
        <v>34</v>
      </c>
      <c r="B2" s="2" t="s">
        <v>34</v>
      </c>
      <c r="C2" s="2">
        <v>1</v>
      </c>
      <c r="D2" s="2" t="s">
        <v>66</v>
      </c>
      <c r="E2" s="2">
        <v>1</v>
      </c>
      <c r="F2" s="2" t="s">
        <v>67</v>
      </c>
      <c r="G2" s="3">
        <v>262144</v>
      </c>
      <c r="H2" s="2">
        <v>512</v>
      </c>
      <c r="I2" s="2">
        <v>512</v>
      </c>
      <c r="J2" s="2">
        <v>6.5734000000000004</v>
      </c>
      <c r="K2" s="2">
        <v>31.724</v>
      </c>
      <c r="L2" s="2">
        <v>27.077000000000002</v>
      </c>
      <c r="M2" s="2">
        <v>4.6470000000000002</v>
      </c>
      <c r="N2" s="2">
        <v>177.988</v>
      </c>
      <c r="O2" s="2">
        <v>30.547000000000001</v>
      </c>
      <c r="P2" s="2">
        <v>208.535</v>
      </c>
      <c r="Q2" s="2">
        <v>678.97</v>
      </c>
      <c r="R2" s="2">
        <v>116.526</v>
      </c>
      <c r="S2" s="2">
        <v>795.49599999999998</v>
      </c>
      <c r="T2" s="2">
        <v>85.35</v>
      </c>
      <c r="U2" s="2">
        <v>1</v>
      </c>
      <c r="V2" s="2">
        <v>79.760000000000005</v>
      </c>
    </row>
    <row r="3" spans="1:22" x14ac:dyDescent="0.35">
      <c r="A3" s="2" t="s">
        <v>34</v>
      </c>
      <c r="B3" s="2" t="s">
        <v>34</v>
      </c>
      <c r="C3" s="2">
        <v>1</v>
      </c>
      <c r="D3" s="2" t="s">
        <v>68</v>
      </c>
      <c r="E3" s="2">
        <v>2</v>
      </c>
      <c r="F3" s="2" t="s">
        <v>69</v>
      </c>
      <c r="G3" s="3">
        <v>589824</v>
      </c>
      <c r="H3" s="2">
        <v>768</v>
      </c>
      <c r="I3" s="2">
        <v>768</v>
      </c>
      <c r="J3" s="2">
        <v>14.7746</v>
      </c>
      <c r="K3" s="2">
        <v>31.724</v>
      </c>
      <c r="L3" s="2">
        <v>27.077000000000002</v>
      </c>
      <c r="M3" s="2">
        <v>4.6470000000000002</v>
      </c>
      <c r="N3" s="2">
        <v>400.05200000000002</v>
      </c>
      <c r="O3" s="2">
        <v>68.658000000000001</v>
      </c>
      <c r="P3" s="2">
        <v>468.709</v>
      </c>
      <c r="Q3" s="2">
        <v>678.25599999999997</v>
      </c>
      <c r="R3" s="2">
        <v>116.40300000000001</v>
      </c>
      <c r="S3" s="2">
        <v>794.66</v>
      </c>
      <c r="T3" s="2">
        <v>85.35</v>
      </c>
      <c r="U3" s="2">
        <v>1</v>
      </c>
      <c r="V3" s="2">
        <v>79.84</v>
      </c>
    </row>
    <row r="4" spans="1:22" x14ac:dyDescent="0.35">
      <c r="A4" s="2" t="s">
        <v>34</v>
      </c>
      <c r="B4" s="2" t="s">
        <v>34</v>
      </c>
      <c r="C4" s="2">
        <v>1</v>
      </c>
      <c r="D4" s="2" t="s">
        <v>70</v>
      </c>
      <c r="E4" s="2">
        <v>3</v>
      </c>
      <c r="F4" s="2" t="s">
        <v>71</v>
      </c>
      <c r="G4" s="3">
        <v>1048576</v>
      </c>
      <c r="H4" s="3">
        <v>1024</v>
      </c>
      <c r="I4" s="3">
        <v>1024</v>
      </c>
      <c r="J4" s="2">
        <v>26.155000000000001</v>
      </c>
      <c r="K4" s="2">
        <v>31.724</v>
      </c>
      <c r="L4" s="2">
        <v>27.077000000000002</v>
      </c>
      <c r="M4" s="2">
        <v>4.6470000000000002</v>
      </c>
      <c r="N4" s="2">
        <v>708.19899999999996</v>
      </c>
      <c r="O4" s="2">
        <v>121.542</v>
      </c>
      <c r="P4" s="2">
        <v>829.74099999999999</v>
      </c>
      <c r="Q4" s="2">
        <v>675.39099999999996</v>
      </c>
      <c r="R4" s="2">
        <v>115.91200000000001</v>
      </c>
      <c r="S4" s="2">
        <v>791.303</v>
      </c>
      <c r="T4" s="2">
        <v>85.35</v>
      </c>
      <c r="U4" s="2">
        <v>1</v>
      </c>
      <c r="V4" s="2">
        <v>80.180000000000007</v>
      </c>
    </row>
    <row r="5" spans="1:22" x14ac:dyDescent="0.35">
      <c r="A5" s="2" t="s">
        <v>34</v>
      </c>
      <c r="B5" s="2" t="s">
        <v>34</v>
      </c>
      <c r="C5" s="2">
        <v>1</v>
      </c>
      <c r="D5" s="2" t="s">
        <v>72</v>
      </c>
      <c r="E5" s="2">
        <v>4</v>
      </c>
      <c r="F5" s="2" t="s">
        <v>73</v>
      </c>
      <c r="G5" s="3">
        <v>2359296</v>
      </c>
      <c r="H5" s="3">
        <v>3072</v>
      </c>
      <c r="I5" s="2">
        <v>768</v>
      </c>
      <c r="J5" s="2">
        <v>59.161200000000001</v>
      </c>
      <c r="K5" s="2">
        <v>31.724</v>
      </c>
      <c r="L5" s="2">
        <v>27.077000000000002</v>
      </c>
      <c r="M5" s="2">
        <v>4.6470000000000002</v>
      </c>
      <c r="N5" s="2">
        <v>1601.9079999999999</v>
      </c>
      <c r="O5" s="2">
        <v>274.92200000000003</v>
      </c>
      <c r="P5" s="2">
        <v>1876.83</v>
      </c>
      <c r="Q5" s="2">
        <v>678.97699999999998</v>
      </c>
      <c r="R5" s="2">
        <v>116.527</v>
      </c>
      <c r="S5" s="2">
        <v>795.50400000000002</v>
      </c>
      <c r="T5" s="2">
        <v>85.35</v>
      </c>
      <c r="U5" s="2">
        <v>1</v>
      </c>
      <c r="V5" s="2">
        <v>79.760000000000005</v>
      </c>
    </row>
    <row r="6" spans="1:22" x14ac:dyDescent="0.35">
      <c r="A6" s="2" t="s">
        <v>34</v>
      </c>
      <c r="B6" s="2" t="s">
        <v>34</v>
      </c>
      <c r="C6" s="2">
        <v>1</v>
      </c>
      <c r="D6" s="2" t="s">
        <v>74</v>
      </c>
      <c r="E6" s="2">
        <v>5</v>
      </c>
      <c r="F6" s="2" t="s">
        <v>75</v>
      </c>
      <c r="G6" s="3">
        <v>2359296</v>
      </c>
      <c r="H6" s="2">
        <v>768</v>
      </c>
      <c r="I6" s="3">
        <v>3072</v>
      </c>
      <c r="J6" s="2">
        <v>59.247300000000003</v>
      </c>
      <c r="K6" s="2">
        <v>31.724</v>
      </c>
      <c r="L6" s="2">
        <v>27.077000000000002</v>
      </c>
      <c r="M6" s="2">
        <v>4.6470000000000002</v>
      </c>
      <c r="N6" s="2">
        <v>1604.239</v>
      </c>
      <c r="O6" s="2">
        <v>275.322</v>
      </c>
      <c r="P6" s="2">
        <v>1879.5609999999999</v>
      </c>
      <c r="Q6" s="2">
        <v>679.96500000000003</v>
      </c>
      <c r="R6" s="2">
        <v>116.697</v>
      </c>
      <c r="S6" s="2">
        <v>796.66200000000003</v>
      </c>
      <c r="T6" s="2">
        <v>85.35</v>
      </c>
      <c r="U6" s="2">
        <v>1</v>
      </c>
      <c r="V6" s="2">
        <v>79.64</v>
      </c>
    </row>
    <row r="7" spans="1:22" x14ac:dyDescent="0.35">
      <c r="A7" s="2" t="s">
        <v>34</v>
      </c>
      <c r="B7" s="2" t="s">
        <v>34</v>
      </c>
      <c r="C7" s="2">
        <v>1</v>
      </c>
      <c r="D7" s="2" t="s">
        <v>76</v>
      </c>
      <c r="E7" s="2">
        <v>6</v>
      </c>
      <c r="F7" s="2" t="s">
        <v>77</v>
      </c>
      <c r="G7" s="3">
        <v>4194304</v>
      </c>
      <c r="H7" s="3">
        <v>4096</v>
      </c>
      <c r="I7" s="3">
        <v>1024</v>
      </c>
      <c r="J7" s="2">
        <v>105.0663</v>
      </c>
      <c r="K7" s="2">
        <v>31.724</v>
      </c>
      <c r="L7" s="2">
        <v>27.077000000000002</v>
      </c>
      <c r="M7" s="2">
        <v>4.6470000000000002</v>
      </c>
      <c r="N7" s="2">
        <v>2844.88</v>
      </c>
      <c r="O7" s="2">
        <v>488.24299999999999</v>
      </c>
      <c r="P7" s="2">
        <v>3333.123</v>
      </c>
      <c r="Q7" s="2">
        <v>678.27200000000005</v>
      </c>
      <c r="R7" s="2">
        <v>116.40600000000001</v>
      </c>
      <c r="S7" s="2">
        <v>794.67899999999997</v>
      </c>
      <c r="T7" s="2">
        <v>85.35</v>
      </c>
      <c r="U7" s="2">
        <v>1</v>
      </c>
      <c r="V7" s="2">
        <v>79.84</v>
      </c>
    </row>
    <row r="8" spans="1:22" x14ac:dyDescent="0.35">
      <c r="A8" s="2" t="s">
        <v>34</v>
      </c>
      <c r="B8" s="2" t="s">
        <v>34</v>
      </c>
      <c r="C8" s="2">
        <v>1</v>
      </c>
      <c r="D8" s="2" t="s">
        <v>78</v>
      </c>
      <c r="E8" s="2">
        <v>7</v>
      </c>
      <c r="F8" s="2" t="s">
        <v>79</v>
      </c>
      <c r="G8" s="3">
        <v>4194304</v>
      </c>
      <c r="H8" s="3">
        <v>1024</v>
      </c>
      <c r="I8" s="3">
        <v>4096</v>
      </c>
      <c r="J8" s="2">
        <v>105.1784</v>
      </c>
      <c r="K8" s="2">
        <v>31.724</v>
      </c>
      <c r="L8" s="2">
        <v>27.077000000000002</v>
      </c>
      <c r="M8" s="2">
        <v>4.6470000000000002</v>
      </c>
      <c r="N8" s="2">
        <v>2847.9160000000002</v>
      </c>
      <c r="O8" s="2">
        <v>488.76400000000001</v>
      </c>
      <c r="P8" s="2">
        <v>3336.68</v>
      </c>
      <c r="Q8" s="2">
        <v>678.99599999999998</v>
      </c>
      <c r="R8" s="2">
        <v>116.53</v>
      </c>
      <c r="S8" s="2">
        <v>795.52599999999995</v>
      </c>
      <c r="T8" s="2">
        <v>85.35</v>
      </c>
      <c r="U8" s="2">
        <v>1</v>
      </c>
      <c r="V8" s="2">
        <v>79.760000000000005</v>
      </c>
    </row>
    <row r="9" spans="1:22" x14ac:dyDescent="0.35">
      <c r="A9" s="2" t="s">
        <v>34</v>
      </c>
      <c r="B9" s="2" t="s">
        <v>34</v>
      </c>
      <c r="C9" s="2">
        <v>1</v>
      </c>
      <c r="D9" s="2" t="s">
        <v>80</v>
      </c>
      <c r="E9" s="2">
        <v>8</v>
      </c>
      <c r="F9" s="2" t="s">
        <v>81</v>
      </c>
      <c r="G9" s="3">
        <v>4194304</v>
      </c>
      <c r="H9" s="3">
        <v>2048</v>
      </c>
      <c r="I9" s="3">
        <v>2048</v>
      </c>
      <c r="J9" s="2">
        <v>105.1802</v>
      </c>
      <c r="K9" s="2">
        <v>31.724</v>
      </c>
      <c r="L9" s="2">
        <v>27.077000000000002</v>
      </c>
      <c r="M9" s="2">
        <v>4.6470000000000002</v>
      </c>
      <c r="N9" s="2">
        <v>2847.9639999999999</v>
      </c>
      <c r="O9" s="2">
        <v>488.77199999999999</v>
      </c>
      <c r="P9" s="2">
        <v>3336.7370000000001</v>
      </c>
      <c r="Q9" s="2">
        <v>679.00800000000004</v>
      </c>
      <c r="R9" s="2">
        <v>116.532</v>
      </c>
      <c r="S9" s="2">
        <v>795.54</v>
      </c>
      <c r="T9" s="2">
        <v>85.35</v>
      </c>
      <c r="U9" s="2">
        <v>1</v>
      </c>
      <c r="V9" s="2">
        <v>79.75</v>
      </c>
    </row>
    <row r="10" spans="1:22" x14ac:dyDescent="0.35">
      <c r="A10" s="2" t="s">
        <v>34</v>
      </c>
      <c r="B10" s="2" t="s">
        <v>34</v>
      </c>
      <c r="C10" s="2">
        <v>1</v>
      </c>
      <c r="D10" s="2" t="s">
        <v>82</v>
      </c>
      <c r="E10" s="2">
        <v>9</v>
      </c>
      <c r="F10" s="2" t="s">
        <v>83</v>
      </c>
      <c r="G10" s="3">
        <v>16777216</v>
      </c>
      <c r="H10" s="3">
        <v>4096</v>
      </c>
      <c r="I10" s="3">
        <v>4096</v>
      </c>
      <c r="J10" s="2">
        <v>417.36939999999998</v>
      </c>
      <c r="K10" s="2">
        <v>31.724</v>
      </c>
      <c r="L10" s="2">
        <v>27.077000000000002</v>
      </c>
      <c r="M10" s="2">
        <v>4.6470000000000002</v>
      </c>
      <c r="N10" s="2">
        <v>11301.111000000001</v>
      </c>
      <c r="O10" s="2">
        <v>1939.5160000000001</v>
      </c>
      <c r="P10" s="2">
        <v>13240.627</v>
      </c>
      <c r="Q10" s="2">
        <v>673.59900000000005</v>
      </c>
      <c r="R10" s="2">
        <v>115.604</v>
      </c>
      <c r="S10" s="2">
        <v>789.20299999999997</v>
      </c>
      <c r="T10" s="2">
        <v>85.35</v>
      </c>
      <c r="U10" s="2">
        <v>1</v>
      </c>
      <c r="V10" s="2">
        <v>80.400000000000006</v>
      </c>
    </row>
    <row r="11" spans="1:22" x14ac:dyDescent="0.35">
      <c r="A11" s="2" t="s">
        <v>34</v>
      </c>
      <c r="B11" s="2" t="s">
        <v>34</v>
      </c>
      <c r="C11" s="2">
        <v>1</v>
      </c>
      <c r="D11" s="2" t="s">
        <v>84</v>
      </c>
      <c r="E11" s="2">
        <v>10</v>
      </c>
      <c r="F11" s="2" t="s">
        <v>85</v>
      </c>
      <c r="G11" s="3">
        <v>16777216</v>
      </c>
      <c r="H11" s="3">
        <v>8192</v>
      </c>
      <c r="I11" s="3">
        <v>2048</v>
      </c>
      <c r="J11" s="2">
        <v>419.39580000000001</v>
      </c>
      <c r="K11" s="2">
        <v>31.724</v>
      </c>
      <c r="L11" s="2">
        <v>27.077000000000002</v>
      </c>
      <c r="M11" s="2">
        <v>4.6470000000000002</v>
      </c>
      <c r="N11" s="2">
        <v>11355.98</v>
      </c>
      <c r="O11" s="2">
        <v>1948.932</v>
      </c>
      <c r="P11" s="2">
        <v>13304.912</v>
      </c>
      <c r="Q11" s="2">
        <v>676.86900000000003</v>
      </c>
      <c r="R11" s="2">
        <v>116.16500000000001</v>
      </c>
      <c r="S11" s="2">
        <v>793.03499999999997</v>
      </c>
      <c r="T11" s="2">
        <v>85.35</v>
      </c>
      <c r="U11" s="2">
        <v>1</v>
      </c>
      <c r="V11" s="2">
        <v>80.010000000000005</v>
      </c>
    </row>
    <row r="12" spans="1:22" x14ac:dyDescent="0.35">
      <c r="A12" s="2" t="s">
        <v>34</v>
      </c>
      <c r="B12" s="2" t="s">
        <v>34</v>
      </c>
      <c r="C12" s="2">
        <v>1</v>
      </c>
      <c r="D12" s="2" t="s">
        <v>86</v>
      </c>
      <c r="E12" s="2">
        <v>11</v>
      </c>
      <c r="F12" s="2" t="s">
        <v>87</v>
      </c>
      <c r="G12" s="3">
        <v>16777216</v>
      </c>
      <c r="H12" s="3">
        <v>2048</v>
      </c>
      <c r="I12" s="3">
        <v>8192</v>
      </c>
      <c r="J12" s="2">
        <v>421.12040000000002</v>
      </c>
      <c r="K12" s="2">
        <v>31.724</v>
      </c>
      <c r="L12" s="2">
        <v>27.077000000000002</v>
      </c>
      <c r="M12" s="2">
        <v>4.6470000000000002</v>
      </c>
      <c r="N12" s="2">
        <v>11402.677</v>
      </c>
      <c r="O12" s="2">
        <v>1956.9459999999999</v>
      </c>
      <c r="P12" s="2">
        <v>13359.624</v>
      </c>
      <c r="Q12" s="2">
        <v>679.65300000000002</v>
      </c>
      <c r="R12" s="2">
        <v>116.643</v>
      </c>
      <c r="S12" s="2">
        <v>796.29600000000005</v>
      </c>
      <c r="T12" s="2">
        <v>85.35</v>
      </c>
      <c r="U12" s="2">
        <v>1</v>
      </c>
      <c r="V12" s="2">
        <v>79.680000000000007</v>
      </c>
    </row>
    <row r="13" spans="1:22" x14ac:dyDescent="0.35">
      <c r="A13" s="2" t="s">
        <v>37</v>
      </c>
      <c r="B13" s="2" t="s">
        <v>38</v>
      </c>
      <c r="C13" s="2">
        <v>2</v>
      </c>
      <c r="D13" s="2" t="s">
        <v>66</v>
      </c>
      <c r="E13" s="2">
        <v>1</v>
      </c>
      <c r="F13" s="2" t="s">
        <v>67</v>
      </c>
      <c r="G13" s="3">
        <v>262144</v>
      </c>
      <c r="H13" s="2">
        <v>512</v>
      </c>
      <c r="I13" s="2">
        <v>512</v>
      </c>
      <c r="J13" s="2">
        <v>3.2625000000000002</v>
      </c>
      <c r="K13" s="2">
        <v>35.994</v>
      </c>
      <c r="L13" s="2">
        <v>30.164999999999999</v>
      </c>
      <c r="M13" s="2">
        <v>5.8289999999999997</v>
      </c>
      <c r="N13" s="2">
        <v>98.412999999999997</v>
      </c>
      <c r="O13" s="2">
        <v>19.016999999999999</v>
      </c>
      <c r="P13" s="2">
        <v>117.43</v>
      </c>
      <c r="Q13" s="2">
        <v>375.41699999999997</v>
      </c>
      <c r="R13" s="2">
        <v>72.545000000000002</v>
      </c>
      <c r="S13" s="2">
        <v>447.96199999999999</v>
      </c>
      <c r="T13" s="2">
        <v>83.81</v>
      </c>
      <c r="U13" s="2">
        <v>1.7758</v>
      </c>
      <c r="V13" s="2">
        <v>160.69999999999999</v>
      </c>
    </row>
    <row r="14" spans="1:22" x14ac:dyDescent="0.35">
      <c r="A14" s="2" t="s">
        <v>37</v>
      </c>
      <c r="B14" s="2" t="s">
        <v>38</v>
      </c>
      <c r="C14" s="2">
        <v>2</v>
      </c>
      <c r="D14" s="2" t="s">
        <v>68</v>
      </c>
      <c r="E14" s="2">
        <v>2</v>
      </c>
      <c r="F14" s="2" t="s">
        <v>69</v>
      </c>
      <c r="G14" s="3">
        <v>589824</v>
      </c>
      <c r="H14" s="2">
        <v>768</v>
      </c>
      <c r="I14" s="2">
        <v>768</v>
      </c>
      <c r="J14" s="2">
        <v>7.3384999999999998</v>
      </c>
      <c r="K14" s="2">
        <v>35.994</v>
      </c>
      <c r="L14" s="2">
        <v>30.164999999999999</v>
      </c>
      <c r="M14" s="2">
        <v>5.8289999999999997</v>
      </c>
      <c r="N14" s="2">
        <v>221.36600000000001</v>
      </c>
      <c r="O14" s="2">
        <v>42.776000000000003</v>
      </c>
      <c r="P14" s="2">
        <v>264.142</v>
      </c>
      <c r="Q14" s="2">
        <v>375.30799999999999</v>
      </c>
      <c r="R14" s="2">
        <v>72.524000000000001</v>
      </c>
      <c r="S14" s="2">
        <v>447.83199999999999</v>
      </c>
      <c r="T14" s="2">
        <v>83.81</v>
      </c>
      <c r="U14" s="2">
        <v>1.7745</v>
      </c>
      <c r="V14" s="2">
        <v>160.75</v>
      </c>
    </row>
    <row r="15" spans="1:22" x14ac:dyDescent="0.35">
      <c r="A15" s="2" t="s">
        <v>37</v>
      </c>
      <c r="B15" s="2" t="s">
        <v>38</v>
      </c>
      <c r="C15" s="2">
        <v>2</v>
      </c>
      <c r="D15" s="2" t="s">
        <v>70</v>
      </c>
      <c r="E15" s="2">
        <v>3</v>
      </c>
      <c r="F15" s="2" t="s">
        <v>71</v>
      </c>
      <c r="G15" s="3">
        <v>1048576</v>
      </c>
      <c r="H15" s="3">
        <v>1024</v>
      </c>
      <c r="I15" s="3">
        <v>1024</v>
      </c>
      <c r="J15" s="2">
        <v>13.095000000000001</v>
      </c>
      <c r="K15" s="2">
        <v>35.994</v>
      </c>
      <c r="L15" s="2">
        <v>30.164999999999999</v>
      </c>
      <c r="M15" s="2">
        <v>5.8289999999999997</v>
      </c>
      <c r="N15" s="2">
        <v>395.01100000000002</v>
      </c>
      <c r="O15" s="2">
        <v>76.331000000000003</v>
      </c>
      <c r="P15" s="2">
        <v>471.34100000000001</v>
      </c>
      <c r="Q15" s="2">
        <v>376.71199999999999</v>
      </c>
      <c r="R15" s="2">
        <v>72.795000000000002</v>
      </c>
      <c r="S15" s="2">
        <v>449.50599999999997</v>
      </c>
      <c r="T15" s="2">
        <v>83.81</v>
      </c>
      <c r="U15" s="2">
        <v>1.7604</v>
      </c>
      <c r="V15" s="2">
        <v>160.15</v>
      </c>
    </row>
    <row r="16" spans="1:22" x14ac:dyDescent="0.35">
      <c r="A16" s="2" t="s">
        <v>37</v>
      </c>
      <c r="B16" s="2" t="s">
        <v>38</v>
      </c>
      <c r="C16" s="2">
        <v>2</v>
      </c>
      <c r="D16" s="2" t="s">
        <v>72</v>
      </c>
      <c r="E16" s="2">
        <v>4</v>
      </c>
      <c r="F16" s="2" t="s">
        <v>73</v>
      </c>
      <c r="G16" s="3">
        <v>2359296</v>
      </c>
      <c r="H16" s="3">
        <v>3072</v>
      </c>
      <c r="I16" s="2">
        <v>768</v>
      </c>
      <c r="J16" s="2">
        <v>29.4236</v>
      </c>
      <c r="K16" s="2">
        <v>35.994</v>
      </c>
      <c r="L16" s="2">
        <v>30.164999999999999</v>
      </c>
      <c r="M16" s="2">
        <v>5.8289999999999997</v>
      </c>
      <c r="N16" s="2">
        <v>887.56299999999999</v>
      </c>
      <c r="O16" s="2">
        <v>171.51</v>
      </c>
      <c r="P16" s="2">
        <v>1059.0730000000001</v>
      </c>
      <c r="Q16" s="2">
        <v>376.19799999999998</v>
      </c>
      <c r="R16" s="2">
        <v>72.694999999999993</v>
      </c>
      <c r="S16" s="2">
        <v>448.89400000000001</v>
      </c>
      <c r="T16" s="2">
        <v>83.81</v>
      </c>
      <c r="U16" s="2">
        <v>1.7721</v>
      </c>
      <c r="V16" s="2">
        <v>160.37</v>
      </c>
    </row>
    <row r="17" spans="1:22" x14ac:dyDescent="0.35">
      <c r="A17" s="2" t="s">
        <v>37</v>
      </c>
      <c r="B17" s="2" t="s">
        <v>38</v>
      </c>
      <c r="C17" s="2">
        <v>2</v>
      </c>
      <c r="D17" s="2" t="s">
        <v>74</v>
      </c>
      <c r="E17" s="2">
        <v>5</v>
      </c>
      <c r="F17" s="2" t="s">
        <v>75</v>
      </c>
      <c r="G17" s="3">
        <v>2359296</v>
      </c>
      <c r="H17" s="2">
        <v>768</v>
      </c>
      <c r="I17" s="3">
        <v>3072</v>
      </c>
      <c r="J17" s="2">
        <v>29.0261</v>
      </c>
      <c r="K17" s="2">
        <v>35.994</v>
      </c>
      <c r="L17" s="2">
        <v>30.164999999999999</v>
      </c>
      <c r="M17" s="2">
        <v>5.8289999999999997</v>
      </c>
      <c r="N17" s="2">
        <v>875.572</v>
      </c>
      <c r="O17" s="2">
        <v>169.19300000000001</v>
      </c>
      <c r="P17" s="2">
        <v>1044.7650000000001</v>
      </c>
      <c r="Q17" s="2">
        <v>371.11599999999999</v>
      </c>
      <c r="R17" s="2">
        <v>71.712999999999994</v>
      </c>
      <c r="S17" s="2">
        <v>442.82900000000001</v>
      </c>
      <c r="T17" s="2">
        <v>83.81</v>
      </c>
      <c r="U17" s="2">
        <v>1.7989999999999999</v>
      </c>
      <c r="V17" s="2">
        <v>162.56</v>
      </c>
    </row>
    <row r="18" spans="1:22" x14ac:dyDescent="0.35">
      <c r="A18" s="2" t="s">
        <v>37</v>
      </c>
      <c r="B18" s="2" t="s">
        <v>38</v>
      </c>
      <c r="C18" s="2">
        <v>2</v>
      </c>
      <c r="D18" s="2" t="s">
        <v>76</v>
      </c>
      <c r="E18" s="2">
        <v>6</v>
      </c>
      <c r="F18" s="2" t="s">
        <v>77</v>
      </c>
      <c r="G18" s="3">
        <v>4194304</v>
      </c>
      <c r="H18" s="3">
        <v>4096</v>
      </c>
      <c r="I18" s="3">
        <v>1024</v>
      </c>
      <c r="J18" s="2">
        <v>52.066499999999998</v>
      </c>
      <c r="K18" s="2">
        <v>35.994</v>
      </c>
      <c r="L18" s="2">
        <v>30.164999999999999</v>
      </c>
      <c r="M18" s="2">
        <v>5.8289999999999997</v>
      </c>
      <c r="N18" s="2">
        <v>1570.586</v>
      </c>
      <c r="O18" s="2">
        <v>303.49599999999998</v>
      </c>
      <c r="P18" s="2">
        <v>1874.0820000000001</v>
      </c>
      <c r="Q18" s="2">
        <v>374.45699999999999</v>
      </c>
      <c r="R18" s="2">
        <v>72.358999999999995</v>
      </c>
      <c r="S18" s="2">
        <v>446.81599999999997</v>
      </c>
      <c r="T18" s="2">
        <v>83.81</v>
      </c>
      <c r="U18" s="2">
        <v>1.7785</v>
      </c>
      <c r="V18" s="2">
        <v>161.11000000000001</v>
      </c>
    </row>
    <row r="19" spans="1:22" x14ac:dyDescent="0.35">
      <c r="A19" s="2" t="s">
        <v>37</v>
      </c>
      <c r="B19" s="2" t="s">
        <v>38</v>
      </c>
      <c r="C19" s="2">
        <v>2</v>
      </c>
      <c r="D19" s="2" t="s">
        <v>78</v>
      </c>
      <c r="E19" s="2">
        <v>7</v>
      </c>
      <c r="F19" s="2" t="s">
        <v>79</v>
      </c>
      <c r="G19" s="3">
        <v>4194304</v>
      </c>
      <c r="H19" s="3">
        <v>1024</v>
      </c>
      <c r="I19" s="3">
        <v>4096</v>
      </c>
      <c r="J19" s="2">
        <v>52.087800000000001</v>
      </c>
      <c r="K19" s="2">
        <v>35.994</v>
      </c>
      <c r="L19" s="2">
        <v>30.164999999999999</v>
      </c>
      <c r="M19" s="2">
        <v>5.8289999999999997</v>
      </c>
      <c r="N19" s="2">
        <v>1571.2280000000001</v>
      </c>
      <c r="O19" s="2">
        <v>303.62</v>
      </c>
      <c r="P19" s="2">
        <v>1874.848</v>
      </c>
      <c r="Q19" s="2">
        <v>374.61</v>
      </c>
      <c r="R19" s="2">
        <v>72.388999999999996</v>
      </c>
      <c r="S19" s="2">
        <v>446.99900000000002</v>
      </c>
      <c r="T19" s="2">
        <v>83.81</v>
      </c>
      <c r="U19" s="2">
        <v>1.7797000000000001</v>
      </c>
      <c r="V19" s="2">
        <v>161.05000000000001</v>
      </c>
    </row>
    <row r="20" spans="1:22" x14ac:dyDescent="0.35">
      <c r="A20" s="2" t="s">
        <v>37</v>
      </c>
      <c r="B20" s="2" t="s">
        <v>38</v>
      </c>
      <c r="C20" s="2">
        <v>2</v>
      </c>
      <c r="D20" s="2" t="s">
        <v>80</v>
      </c>
      <c r="E20" s="2">
        <v>8</v>
      </c>
      <c r="F20" s="2" t="s">
        <v>81</v>
      </c>
      <c r="G20" s="3">
        <v>4194304</v>
      </c>
      <c r="H20" s="3">
        <v>2048</v>
      </c>
      <c r="I20" s="3">
        <v>2048</v>
      </c>
      <c r="J20" s="2">
        <v>51.990099999999998</v>
      </c>
      <c r="K20" s="2">
        <v>35.994</v>
      </c>
      <c r="L20" s="2">
        <v>30.164999999999999</v>
      </c>
      <c r="M20" s="2">
        <v>5.8289999999999997</v>
      </c>
      <c r="N20" s="2">
        <v>1568.2809999999999</v>
      </c>
      <c r="O20" s="2">
        <v>303.05</v>
      </c>
      <c r="P20" s="2">
        <v>1871.3320000000001</v>
      </c>
      <c r="Q20" s="2">
        <v>373.90699999999998</v>
      </c>
      <c r="R20" s="2">
        <v>72.253</v>
      </c>
      <c r="S20" s="2">
        <v>446.16</v>
      </c>
      <c r="T20" s="2">
        <v>83.81</v>
      </c>
      <c r="U20" s="2">
        <v>1.7830999999999999</v>
      </c>
      <c r="V20" s="2">
        <v>161.35</v>
      </c>
    </row>
    <row r="21" spans="1:22" x14ac:dyDescent="0.35">
      <c r="A21" s="2" t="s">
        <v>37</v>
      </c>
      <c r="B21" s="2" t="s">
        <v>38</v>
      </c>
      <c r="C21" s="2">
        <v>2</v>
      </c>
      <c r="D21" s="2" t="s">
        <v>82</v>
      </c>
      <c r="E21" s="2">
        <v>9</v>
      </c>
      <c r="F21" s="2" t="s">
        <v>83</v>
      </c>
      <c r="G21" s="3">
        <v>16777216</v>
      </c>
      <c r="H21" s="3">
        <v>4096</v>
      </c>
      <c r="I21" s="3">
        <v>4096</v>
      </c>
      <c r="J21" s="2">
        <v>206.42840000000001</v>
      </c>
      <c r="K21" s="2">
        <v>35.994</v>
      </c>
      <c r="L21" s="2">
        <v>30.164999999999999</v>
      </c>
      <c r="M21" s="2">
        <v>5.8289999999999997</v>
      </c>
      <c r="N21" s="2">
        <v>6226.9129999999996</v>
      </c>
      <c r="O21" s="2">
        <v>1203.271</v>
      </c>
      <c r="P21" s="2">
        <v>7430.1840000000002</v>
      </c>
      <c r="Q21" s="2">
        <v>371.15300000000002</v>
      </c>
      <c r="R21" s="2">
        <v>71.721000000000004</v>
      </c>
      <c r="S21" s="2">
        <v>442.87299999999999</v>
      </c>
      <c r="T21" s="2">
        <v>83.81</v>
      </c>
      <c r="U21" s="2">
        <v>1.782</v>
      </c>
      <c r="V21" s="2">
        <v>162.55000000000001</v>
      </c>
    </row>
    <row r="22" spans="1:22" x14ac:dyDescent="0.35">
      <c r="A22" s="2" t="s">
        <v>37</v>
      </c>
      <c r="B22" s="2" t="s">
        <v>38</v>
      </c>
      <c r="C22" s="2">
        <v>2</v>
      </c>
      <c r="D22" s="2" t="s">
        <v>84</v>
      </c>
      <c r="E22" s="2">
        <v>10</v>
      </c>
      <c r="F22" s="2" t="s">
        <v>85</v>
      </c>
      <c r="G22" s="3">
        <v>16777216</v>
      </c>
      <c r="H22" s="3">
        <v>8192</v>
      </c>
      <c r="I22" s="3">
        <v>2048</v>
      </c>
      <c r="J22" s="2">
        <v>208.13050000000001</v>
      </c>
      <c r="K22" s="2">
        <v>35.994</v>
      </c>
      <c r="L22" s="2">
        <v>30.164999999999999</v>
      </c>
      <c r="M22" s="2">
        <v>5.8289999999999997</v>
      </c>
      <c r="N22" s="2">
        <v>6278.2569999999996</v>
      </c>
      <c r="O22" s="2">
        <v>1213.193</v>
      </c>
      <c r="P22" s="2">
        <v>7491.4489999999996</v>
      </c>
      <c r="Q22" s="2">
        <v>374.21300000000002</v>
      </c>
      <c r="R22" s="2">
        <v>72.311999999999998</v>
      </c>
      <c r="S22" s="2">
        <v>446.52499999999998</v>
      </c>
      <c r="T22" s="2">
        <v>83.81</v>
      </c>
      <c r="U22" s="2">
        <v>1.776</v>
      </c>
      <c r="V22" s="2">
        <v>161.22</v>
      </c>
    </row>
    <row r="23" spans="1:22" x14ac:dyDescent="0.35">
      <c r="A23" s="2" t="s">
        <v>37</v>
      </c>
      <c r="B23" s="2" t="s">
        <v>38</v>
      </c>
      <c r="C23" s="2">
        <v>2</v>
      </c>
      <c r="D23" s="2" t="s">
        <v>86</v>
      </c>
      <c r="E23" s="2">
        <v>11</v>
      </c>
      <c r="F23" s="2" t="s">
        <v>87</v>
      </c>
      <c r="G23" s="3">
        <v>16777216</v>
      </c>
      <c r="H23" s="3">
        <v>2048</v>
      </c>
      <c r="I23" s="3">
        <v>8192</v>
      </c>
      <c r="J23" s="2">
        <v>207.0247</v>
      </c>
      <c r="K23" s="2">
        <v>35.994</v>
      </c>
      <c r="L23" s="2">
        <v>30.164999999999999</v>
      </c>
      <c r="M23" s="2">
        <v>5.8289999999999997</v>
      </c>
      <c r="N23" s="2">
        <v>6244.9</v>
      </c>
      <c r="O23" s="2">
        <v>1206.7470000000001</v>
      </c>
      <c r="P23" s="2">
        <v>7451.6469999999999</v>
      </c>
      <c r="Q23" s="2">
        <v>372.22500000000002</v>
      </c>
      <c r="R23" s="2">
        <v>71.927999999999997</v>
      </c>
      <c r="S23" s="2">
        <v>444.15300000000002</v>
      </c>
      <c r="T23" s="2">
        <v>83.81</v>
      </c>
      <c r="U23" s="2">
        <v>1.7927999999999999</v>
      </c>
      <c r="V23" s="2">
        <v>162.08000000000001</v>
      </c>
    </row>
    <row r="24" spans="1:22" x14ac:dyDescent="0.35">
      <c r="A24" s="2" t="s">
        <v>37</v>
      </c>
      <c r="B24" s="2" t="s">
        <v>40</v>
      </c>
      <c r="C24" s="2">
        <v>3</v>
      </c>
      <c r="D24" s="2" t="s">
        <v>66</v>
      </c>
      <c r="E24" s="2">
        <v>1</v>
      </c>
      <c r="F24" s="2" t="s">
        <v>67</v>
      </c>
      <c r="G24" s="3">
        <v>262144</v>
      </c>
      <c r="H24" s="2">
        <v>512</v>
      </c>
      <c r="I24" s="2">
        <v>512</v>
      </c>
      <c r="J24" s="2">
        <v>1.6567000000000001</v>
      </c>
      <c r="K24" s="2">
        <v>35.451999999999998</v>
      </c>
      <c r="L24" s="2">
        <v>30.164000000000001</v>
      </c>
      <c r="M24" s="2">
        <v>5.2880000000000003</v>
      </c>
      <c r="N24" s="2">
        <v>49.972999999999999</v>
      </c>
      <c r="O24" s="2">
        <v>8.7609999999999992</v>
      </c>
      <c r="P24" s="2">
        <v>58.732999999999997</v>
      </c>
      <c r="Q24" s="2">
        <v>190.631</v>
      </c>
      <c r="R24" s="2">
        <v>33.418999999999997</v>
      </c>
      <c r="S24" s="2">
        <v>224.05</v>
      </c>
      <c r="T24" s="2">
        <v>85.08</v>
      </c>
      <c r="U24" s="2">
        <v>3.5505</v>
      </c>
      <c r="V24" s="2">
        <v>316.47000000000003</v>
      </c>
    </row>
    <row r="25" spans="1:22" x14ac:dyDescent="0.35">
      <c r="A25" s="2" t="s">
        <v>37</v>
      </c>
      <c r="B25" s="2" t="s">
        <v>40</v>
      </c>
      <c r="C25" s="2">
        <v>3</v>
      </c>
      <c r="D25" s="2" t="s">
        <v>68</v>
      </c>
      <c r="E25" s="2">
        <v>2</v>
      </c>
      <c r="F25" s="2" t="s">
        <v>69</v>
      </c>
      <c r="G25" s="3">
        <v>589824</v>
      </c>
      <c r="H25" s="2">
        <v>768</v>
      </c>
      <c r="I25" s="2">
        <v>768</v>
      </c>
      <c r="J25" s="2">
        <v>3.6625999999999999</v>
      </c>
      <c r="K25" s="2">
        <v>35.451999999999998</v>
      </c>
      <c r="L25" s="2">
        <v>30.164000000000001</v>
      </c>
      <c r="M25" s="2">
        <v>5.2880000000000003</v>
      </c>
      <c r="N25" s="2">
        <v>110.479</v>
      </c>
      <c r="O25" s="2">
        <v>19.367999999999999</v>
      </c>
      <c r="P25" s="2">
        <v>129.846</v>
      </c>
      <c r="Q25" s="2">
        <v>187.30799999999999</v>
      </c>
      <c r="R25" s="2">
        <v>32.837000000000003</v>
      </c>
      <c r="S25" s="2">
        <v>220.14400000000001</v>
      </c>
      <c r="T25" s="2">
        <v>85.08</v>
      </c>
      <c r="U25" s="2">
        <v>3.6097000000000001</v>
      </c>
      <c r="V25" s="2">
        <v>322.08</v>
      </c>
    </row>
    <row r="26" spans="1:22" x14ac:dyDescent="0.35">
      <c r="A26" s="2" t="s">
        <v>37</v>
      </c>
      <c r="B26" s="2" t="s">
        <v>40</v>
      </c>
      <c r="C26" s="2">
        <v>3</v>
      </c>
      <c r="D26" s="2" t="s">
        <v>70</v>
      </c>
      <c r="E26" s="2">
        <v>3</v>
      </c>
      <c r="F26" s="2" t="s">
        <v>71</v>
      </c>
      <c r="G26" s="3">
        <v>1048576</v>
      </c>
      <c r="H26" s="3">
        <v>1024</v>
      </c>
      <c r="I26" s="3">
        <v>1024</v>
      </c>
      <c r="J26" s="2">
        <v>6.5098000000000003</v>
      </c>
      <c r="K26" s="2">
        <v>35.451999999999998</v>
      </c>
      <c r="L26" s="2">
        <v>30.164000000000001</v>
      </c>
      <c r="M26" s="2">
        <v>5.2880000000000003</v>
      </c>
      <c r="N26" s="2">
        <v>196.36199999999999</v>
      </c>
      <c r="O26" s="2">
        <v>34.423999999999999</v>
      </c>
      <c r="P26" s="2">
        <v>230.785</v>
      </c>
      <c r="Q26" s="2">
        <v>187.26499999999999</v>
      </c>
      <c r="R26" s="2">
        <v>32.829000000000001</v>
      </c>
      <c r="S26" s="2">
        <v>220.09399999999999</v>
      </c>
      <c r="T26" s="2">
        <v>85.08</v>
      </c>
      <c r="U26" s="2">
        <v>3.5952999999999999</v>
      </c>
      <c r="V26" s="2">
        <v>322.14999999999998</v>
      </c>
    </row>
    <row r="27" spans="1:22" x14ac:dyDescent="0.35">
      <c r="A27" s="2" t="s">
        <v>37</v>
      </c>
      <c r="B27" s="2" t="s">
        <v>40</v>
      </c>
      <c r="C27" s="2">
        <v>3</v>
      </c>
      <c r="D27" s="2" t="s">
        <v>72</v>
      </c>
      <c r="E27" s="2">
        <v>4</v>
      </c>
      <c r="F27" s="2" t="s">
        <v>73</v>
      </c>
      <c r="G27" s="3">
        <v>2359296</v>
      </c>
      <c r="H27" s="3">
        <v>3072</v>
      </c>
      <c r="I27" s="2">
        <v>768</v>
      </c>
      <c r="J27" s="2">
        <v>14.759</v>
      </c>
      <c r="K27" s="2">
        <v>35.451999999999998</v>
      </c>
      <c r="L27" s="2">
        <v>30.164000000000001</v>
      </c>
      <c r="M27" s="2">
        <v>5.2880000000000003</v>
      </c>
      <c r="N27" s="2">
        <v>445.19</v>
      </c>
      <c r="O27" s="2">
        <v>78.046000000000006</v>
      </c>
      <c r="P27" s="2">
        <v>523.23599999999999</v>
      </c>
      <c r="Q27" s="2">
        <v>188.696</v>
      </c>
      <c r="R27" s="2">
        <v>33.08</v>
      </c>
      <c r="S27" s="2">
        <v>221.77600000000001</v>
      </c>
      <c r="T27" s="2">
        <v>85.08</v>
      </c>
      <c r="U27" s="2">
        <v>3.5870000000000002</v>
      </c>
      <c r="V27" s="2">
        <v>319.70999999999998</v>
      </c>
    </row>
    <row r="28" spans="1:22" x14ac:dyDescent="0.35">
      <c r="A28" s="2" t="s">
        <v>37</v>
      </c>
      <c r="B28" s="2" t="s">
        <v>40</v>
      </c>
      <c r="C28" s="2">
        <v>3</v>
      </c>
      <c r="D28" s="2" t="s">
        <v>74</v>
      </c>
      <c r="E28" s="2">
        <v>5</v>
      </c>
      <c r="F28" s="2" t="s">
        <v>75</v>
      </c>
      <c r="G28" s="3">
        <v>2359296</v>
      </c>
      <c r="H28" s="2">
        <v>768</v>
      </c>
      <c r="I28" s="3">
        <v>3072</v>
      </c>
      <c r="J28" s="2">
        <v>14.7753</v>
      </c>
      <c r="K28" s="2">
        <v>35.451999999999998</v>
      </c>
      <c r="L28" s="2">
        <v>30.164000000000001</v>
      </c>
      <c r="M28" s="2">
        <v>5.2880000000000003</v>
      </c>
      <c r="N28" s="2">
        <v>445.68200000000002</v>
      </c>
      <c r="O28" s="2">
        <v>78.132000000000005</v>
      </c>
      <c r="P28" s="2">
        <v>523.81399999999996</v>
      </c>
      <c r="Q28" s="2">
        <v>188.905</v>
      </c>
      <c r="R28" s="2">
        <v>33.116999999999997</v>
      </c>
      <c r="S28" s="2">
        <v>222.02099999999999</v>
      </c>
      <c r="T28" s="2">
        <v>85.08</v>
      </c>
      <c r="U28" s="2">
        <v>3.5882000000000001</v>
      </c>
      <c r="V28" s="2">
        <v>319.36</v>
      </c>
    </row>
    <row r="29" spans="1:22" x14ac:dyDescent="0.35">
      <c r="A29" s="2" t="s">
        <v>37</v>
      </c>
      <c r="B29" s="2" t="s">
        <v>40</v>
      </c>
      <c r="C29" s="2">
        <v>3</v>
      </c>
      <c r="D29" s="2" t="s">
        <v>76</v>
      </c>
      <c r="E29" s="2">
        <v>6</v>
      </c>
      <c r="F29" s="2" t="s">
        <v>77</v>
      </c>
      <c r="G29" s="3">
        <v>4194304</v>
      </c>
      <c r="H29" s="3">
        <v>4096</v>
      </c>
      <c r="I29" s="3">
        <v>1024</v>
      </c>
      <c r="J29" s="2">
        <v>26.375299999999999</v>
      </c>
      <c r="K29" s="2">
        <v>35.451999999999998</v>
      </c>
      <c r="L29" s="2">
        <v>30.164000000000001</v>
      </c>
      <c r="M29" s="2">
        <v>5.2880000000000003</v>
      </c>
      <c r="N29" s="2">
        <v>795.58500000000004</v>
      </c>
      <c r="O29" s="2">
        <v>139.47300000000001</v>
      </c>
      <c r="P29" s="2">
        <v>935.05700000000002</v>
      </c>
      <c r="Q29" s="2">
        <v>189.68199999999999</v>
      </c>
      <c r="R29" s="2">
        <v>33.253</v>
      </c>
      <c r="S29" s="2">
        <v>222.935</v>
      </c>
      <c r="T29" s="2">
        <v>85.08</v>
      </c>
      <c r="U29" s="2">
        <v>3.5646</v>
      </c>
      <c r="V29" s="2">
        <v>318.05</v>
      </c>
    </row>
    <row r="30" spans="1:22" x14ac:dyDescent="0.35">
      <c r="A30" s="2" t="s">
        <v>37</v>
      </c>
      <c r="B30" s="2" t="s">
        <v>40</v>
      </c>
      <c r="C30" s="2">
        <v>3</v>
      </c>
      <c r="D30" s="2" t="s">
        <v>78</v>
      </c>
      <c r="E30" s="2">
        <v>7</v>
      </c>
      <c r="F30" s="2" t="s">
        <v>79</v>
      </c>
      <c r="G30" s="3">
        <v>4194304</v>
      </c>
      <c r="H30" s="3">
        <v>1024</v>
      </c>
      <c r="I30" s="3">
        <v>4096</v>
      </c>
      <c r="J30" s="2">
        <v>26.171299999999999</v>
      </c>
      <c r="K30" s="2">
        <v>35.451999999999998</v>
      </c>
      <c r="L30" s="2">
        <v>30.164000000000001</v>
      </c>
      <c r="M30" s="2">
        <v>5.2880000000000003</v>
      </c>
      <c r="N30" s="2">
        <v>789.43100000000004</v>
      </c>
      <c r="O30" s="2">
        <v>138.39400000000001</v>
      </c>
      <c r="P30" s="2">
        <v>927.82500000000005</v>
      </c>
      <c r="Q30" s="2">
        <v>188.215</v>
      </c>
      <c r="R30" s="2">
        <v>32.996000000000002</v>
      </c>
      <c r="S30" s="2">
        <v>221.21100000000001</v>
      </c>
      <c r="T30" s="2">
        <v>85.08</v>
      </c>
      <c r="U30" s="2">
        <v>3.5962000000000001</v>
      </c>
      <c r="V30" s="2">
        <v>320.52999999999997</v>
      </c>
    </row>
    <row r="31" spans="1:22" x14ac:dyDescent="0.35">
      <c r="A31" s="2" t="s">
        <v>37</v>
      </c>
      <c r="B31" s="2" t="s">
        <v>40</v>
      </c>
      <c r="C31" s="2">
        <v>3</v>
      </c>
      <c r="D31" s="2" t="s">
        <v>80</v>
      </c>
      <c r="E31" s="2">
        <v>8</v>
      </c>
      <c r="F31" s="2" t="s">
        <v>81</v>
      </c>
      <c r="G31" s="3">
        <v>4194304</v>
      </c>
      <c r="H31" s="3">
        <v>2048</v>
      </c>
      <c r="I31" s="3">
        <v>2048</v>
      </c>
      <c r="J31" s="2">
        <v>26.1236</v>
      </c>
      <c r="K31" s="2">
        <v>35.451999999999998</v>
      </c>
      <c r="L31" s="2">
        <v>30.164000000000001</v>
      </c>
      <c r="M31" s="2">
        <v>5.2880000000000003</v>
      </c>
      <c r="N31" s="2">
        <v>787.99199999999996</v>
      </c>
      <c r="O31" s="2">
        <v>138.142</v>
      </c>
      <c r="P31" s="2">
        <v>926.13400000000001</v>
      </c>
      <c r="Q31" s="2">
        <v>187.87200000000001</v>
      </c>
      <c r="R31" s="2">
        <v>32.936</v>
      </c>
      <c r="S31" s="2">
        <v>220.80799999999999</v>
      </c>
      <c r="T31" s="2">
        <v>85.08</v>
      </c>
      <c r="U31" s="2">
        <v>3.6029</v>
      </c>
      <c r="V31" s="2">
        <v>321.11</v>
      </c>
    </row>
    <row r="32" spans="1:22" x14ac:dyDescent="0.35">
      <c r="A32" s="2" t="s">
        <v>37</v>
      </c>
      <c r="B32" s="2" t="s">
        <v>40</v>
      </c>
      <c r="C32" s="2">
        <v>3</v>
      </c>
      <c r="D32" s="2" t="s">
        <v>82</v>
      </c>
      <c r="E32" s="2">
        <v>9</v>
      </c>
      <c r="F32" s="2" t="s">
        <v>83</v>
      </c>
      <c r="G32" s="3">
        <v>16777216</v>
      </c>
      <c r="H32" s="3">
        <v>4096</v>
      </c>
      <c r="I32" s="3">
        <v>4096</v>
      </c>
      <c r="J32" s="2">
        <v>104.90649999999999</v>
      </c>
      <c r="K32" s="2">
        <v>35.451999999999998</v>
      </c>
      <c r="L32" s="2">
        <v>30.164000000000001</v>
      </c>
      <c r="M32" s="2">
        <v>5.2880000000000003</v>
      </c>
      <c r="N32" s="2">
        <v>3164.4</v>
      </c>
      <c r="O32" s="2">
        <v>554.74599999999998</v>
      </c>
      <c r="P32" s="2">
        <v>3719.145</v>
      </c>
      <c r="Q32" s="2">
        <v>188.613</v>
      </c>
      <c r="R32" s="2">
        <v>33.064999999999998</v>
      </c>
      <c r="S32" s="2">
        <v>221.678</v>
      </c>
      <c r="T32" s="2">
        <v>85.08</v>
      </c>
      <c r="U32" s="2">
        <v>3.5600999999999998</v>
      </c>
      <c r="V32" s="2">
        <v>319.85000000000002</v>
      </c>
    </row>
    <row r="33" spans="1:22" x14ac:dyDescent="0.35">
      <c r="A33" s="2" t="s">
        <v>37</v>
      </c>
      <c r="B33" s="2" t="s">
        <v>40</v>
      </c>
      <c r="C33" s="2">
        <v>3</v>
      </c>
      <c r="D33" s="2" t="s">
        <v>84</v>
      </c>
      <c r="E33" s="2">
        <v>10</v>
      </c>
      <c r="F33" s="2" t="s">
        <v>85</v>
      </c>
      <c r="G33" s="3">
        <v>16777216</v>
      </c>
      <c r="H33" s="3">
        <v>8192</v>
      </c>
      <c r="I33" s="3">
        <v>2048</v>
      </c>
      <c r="J33" s="2">
        <v>104.3126</v>
      </c>
      <c r="K33" s="2">
        <v>35.451999999999998</v>
      </c>
      <c r="L33" s="2">
        <v>30.164000000000001</v>
      </c>
      <c r="M33" s="2">
        <v>5.2880000000000003</v>
      </c>
      <c r="N33" s="2">
        <v>3146.4850000000001</v>
      </c>
      <c r="O33" s="2">
        <v>551.60500000000002</v>
      </c>
      <c r="P33" s="2">
        <v>3698.09</v>
      </c>
      <c r="Q33" s="2">
        <v>187.54499999999999</v>
      </c>
      <c r="R33" s="2">
        <v>32.878</v>
      </c>
      <c r="S33" s="2">
        <v>220.423</v>
      </c>
      <c r="T33" s="2">
        <v>85.08</v>
      </c>
      <c r="U33" s="2">
        <v>3.5977999999999999</v>
      </c>
      <c r="V33" s="2">
        <v>321.67</v>
      </c>
    </row>
    <row r="34" spans="1:22" x14ac:dyDescent="0.35">
      <c r="A34" s="2" t="s">
        <v>37</v>
      </c>
      <c r="B34" s="2" t="s">
        <v>40</v>
      </c>
      <c r="C34" s="2">
        <v>3</v>
      </c>
      <c r="D34" s="2" t="s">
        <v>86</v>
      </c>
      <c r="E34" s="2">
        <v>11</v>
      </c>
      <c r="F34" s="2" t="s">
        <v>87</v>
      </c>
      <c r="G34" s="3">
        <v>16777216</v>
      </c>
      <c r="H34" s="3">
        <v>2048</v>
      </c>
      <c r="I34" s="3">
        <v>8192</v>
      </c>
      <c r="J34" s="2">
        <v>104.9286</v>
      </c>
      <c r="K34" s="2">
        <v>35.451999999999998</v>
      </c>
      <c r="L34" s="2">
        <v>30.164000000000001</v>
      </c>
      <c r="M34" s="2">
        <v>5.2880000000000003</v>
      </c>
      <c r="N34" s="2">
        <v>3165.0659999999998</v>
      </c>
      <c r="O34" s="2">
        <v>554.86199999999997</v>
      </c>
      <c r="P34" s="2">
        <v>3719.9290000000001</v>
      </c>
      <c r="Q34" s="2">
        <v>188.65299999999999</v>
      </c>
      <c r="R34" s="2">
        <v>33.072000000000003</v>
      </c>
      <c r="S34" s="2">
        <v>221.72499999999999</v>
      </c>
      <c r="T34" s="2">
        <v>85.08</v>
      </c>
      <c r="U34" s="2">
        <v>3.5914000000000001</v>
      </c>
      <c r="V34" s="2">
        <v>319.77999999999997</v>
      </c>
    </row>
    <row r="35" spans="1:22" x14ac:dyDescent="0.35">
      <c r="A35" s="2" t="s">
        <v>37</v>
      </c>
      <c r="B35" s="2" t="s">
        <v>42</v>
      </c>
      <c r="C35" s="2">
        <v>4</v>
      </c>
      <c r="D35" s="2" t="s">
        <v>66</v>
      </c>
      <c r="E35" s="2">
        <v>1</v>
      </c>
      <c r="F35" s="2" t="s">
        <v>67</v>
      </c>
      <c r="G35" s="3">
        <v>262144</v>
      </c>
      <c r="H35" s="2">
        <v>512</v>
      </c>
      <c r="I35" s="2">
        <v>512</v>
      </c>
      <c r="J35" s="2">
        <v>0.83330000000000004</v>
      </c>
      <c r="K35" s="2">
        <v>36.084000000000003</v>
      </c>
      <c r="L35" s="2">
        <v>30.201000000000001</v>
      </c>
      <c r="M35" s="2">
        <v>5.883</v>
      </c>
      <c r="N35" s="2">
        <v>25.166</v>
      </c>
      <c r="O35" s="2">
        <v>4.9020000000000001</v>
      </c>
      <c r="P35" s="2">
        <v>30.068999999999999</v>
      </c>
      <c r="Q35" s="2">
        <v>96.003</v>
      </c>
      <c r="R35" s="2">
        <v>18.701000000000001</v>
      </c>
      <c r="S35" s="2">
        <v>114.703</v>
      </c>
      <c r="T35" s="2">
        <v>83.7</v>
      </c>
      <c r="U35" s="2">
        <v>6.9352</v>
      </c>
      <c r="V35" s="2">
        <v>629.19000000000005</v>
      </c>
    </row>
    <row r="36" spans="1:22" x14ac:dyDescent="0.35">
      <c r="A36" s="2" t="s">
        <v>37</v>
      </c>
      <c r="B36" s="2" t="s">
        <v>42</v>
      </c>
      <c r="C36" s="2">
        <v>4</v>
      </c>
      <c r="D36" s="2" t="s">
        <v>68</v>
      </c>
      <c r="E36" s="2">
        <v>2</v>
      </c>
      <c r="F36" s="2" t="s">
        <v>69</v>
      </c>
      <c r="G36" s="3">
        <v>589824</v>
      </c>
      <c r="H36" s="2">
        <v>768</v>
      </c>
      <c r="I36" s="2">
        <v>768</v>
      </c>
      <c r="J36" s="2">
        <v>1.871</v>
      </c>
      <c r="K36" s="2">
        <v>36.084000000000003</v>
      </c>
      <c r="L36" s="2">
        <v>30.201000000000001</v>
      </c>
      <c r="M36" s="2">
        <v>5.883</v>
      </c>
      <c r="N36" s="2">
        <v>56.506</v>
      </c>
      <c r="O36" s="2">
        <v>11.007</v>
      </c>
      <c r="P36" s="2">
        <v>67.513000000000005</v>
      </c>
      <c r="Q36" s="2">
        <v>95.802000000000007</v>
      </c>
      <c r="R36" s="2">
        <v>18.661999999999999</v>
      </c>
      <c r="S36" s="2">
        <v>114.46299999999999</v>
      </c>
      <c r="T36" s="2">
        <v>83.7</v>
      </c>
      <c r="U36" s="2">
        <v>6.9424999999999999</v>
      </c>
      <c r="V36" s="2">
        <v>630.5</v>
      </c>
    </row>
    <row r="37" spans="1:22" x14ac:dyDescent="0.35">
      <c r="A37" s="2" t="s">
        <v>37</v>
      </c>
      <c r="B37" s="2" t="s">
        <v>42</v>
      </c>
      <c r="C37" s="2">
        <v>4</v>
      </c>
      <c r="D37" s="2" t="s">
        <v>70</v>
      </c>
      <c r="E37" s="2">
        <v>3</v>
      </c>
      <c r="F37" s="2" t="s">
        <v>71</v>
      </c>
      <c r="G37" s="3">
        <v>1048576</v>
      </c>
      <c r="H37" s="3">
        <v>1024</v>
      </c>
      <c r="I37" s="3">
        <v>1024</v>
      </c>
      <c r="J37" s="2">
        <v>3.3102999999999998</v>
      </c>
      <c r="K37" s="2">
        <v>36.084000000000003</v>
      </c>
      <c r="L37" s="2">
        <v>30.201000000000001</v>
      </c>
      <c r="M37" s="2">
        <v>5.883</v>
      </c>
      <c r="N37" s="2">
        <v>99.974000000000004</v>
      </c>
      <c r="O37" s="2">
        <v>19.474</v>
      </c>
      <c r="P37" s="2">
        <v>119.449</v>
      </c>
      <c r="Q37" s="2">
        <v>95.343000000000004</v>
      </c>
      <c r="R37" s="2">
        <v>18.571999999999999</v>
      </c>
      <c r="S37" s="2">
        <v>113.91500000000001</v>
      </c>
      <c r="T37" s="2">
        <v>83.7</v>
      </c>
      <c r="U37" s="2">
        <v>6.9463999999999997</v>
      </c>
      <c r="V37" s="2">
        <v>633.53</v>
      </c>
    </row>
    <row r="38" spans="1:22" x14ac:dyDescent="0.35">
      <c r="A38" s="2" t="s">
        <v>37</v>
      </c>
      <c r="B38" s="2" t="s">
        <v>42</v>
      </c>
      <c r="C38" s="2">
        <v>4</v>
      </c>
      <c r="D38" s="2" t="s">
        <v>72</v>
      </c>
      <c r="E38" s="2">
        <v>4</v>
      </c>
      <c r="F38" s="2" t="s">
        <v>73</v>
      </c>
      <c r="G38" s="3">
        <v>2359296</v>
      </c>
      <c r="H38" s="3">
        <v>3072</v>
      </c>
      <c r="I38" s="2">
        <v>768</v>
      </c>
      <c r="J38" s="2">
        <v>7.4077999999999999</v>
      </c>
      <c r="K38" s="2">
        <v>36.084000000000003</v>
      </c>
      <c r="L38" s="2">
        <v>30.201000000000001</v>
      </c>
      <c r="M38" s="2">
        <v>5.883</v>
      </c>
      <c r="N38" s="2">
        <v>223.72300000000001</v>
      </c>
      <c r="O38" s="2">
        <v>43.58</v>
      </c>
      <c r="P38" s="2">
        <v>267.303</v>
      </c>
      <c r="Q38" s="2">
        <v>94.825999999999993</v>
      </c>
      <c r="R38" s="2">
        <v>18.472000000000001</v>
      </c>
      <c r="S38" s="2">
        <v>113.298</v>
      </c>
      <c r="T38" s="2">
        <v>83.7</v>
      </c>
      <c r="U38" s="2">
        <v>7.0213999999999999</v>
      </c>
      <c r="V38" s="2">
        <v>636.98</v>
      </c>
    </row>
    <row r="39" spans="1:22" x14ac:dyDescent="0.35">
      <c r="A39" s="2" t="s">
        <v>37</v>
      </c>
      <c r="B39" s="2" t="s">
        <v>42</v>
      </c>
      <c r="C39" s="2">
        <v>4</v>
      </c>
      <c r="D39" s="2" t="s">
        <v>74</v>
      </c>
      <c r="E39" s="2">
        <v>5</v>
      </c>
      <c r="F39" s="2" t="s">
        <v>75</v>
      </c>
      <c r="G39" s="3">
        <v>2359296</v>
      </c>
      <c r="H39" s="2">
        <v>768</v>
      </c>
      <c r="I39" s="3">
        <v>3072</v>
      </c>
      <c r="J39" s="2">
        <v>7.3992000000000004</v>
      </c>
      <c r="K39" s="2">
        <v>36.084000000000003</v>
      </c>
      <c r="L39" s="2">
        <v>30.201000000000001</v>
      </c>
      <c r="M39" s="2">
        <v>5.883</v>
      </c>
      <c r="N39" s="2">
        <v>223.46299999999999</v>
      </c>
      <c r="O39" s="2">
        <v>43.529000000000003</v>
      </c>
      <c r="P39" s="2">
        <v>266.99299999999999</v>
      </c>
      <c r="Q39" s="2">
        <v>94.715999999999994</v>
      </c>
      <c r="R39" s="2">
        <v>18.45</v>
      </c>
      <c r="S39" s="2">
        <v>113.166</v>
      </c>
      <c r="T39" s="2">
        <v>83.7</v>
      </c>
      <c r="U39" s="2">
        <v>7.0396999999999998</v>
      </c>
      <c r="V39" s="2">
        <v>637.71</v>
      </c>
    </row>
    <row r="40" spans="1:22" x14ac:dyDescent="0.35">
      <c r="A40" s="2" t="s">
        <v>37</v>
      </c>
      <c r="B40" s="2" t="s">
        <v>42</v>
      </c>
      <c r="C40" s="2">
        <v>4</v>
      </c>
      <c r="D40" s="2" t="s">
        <v>76</v>
      </c>
      <c r="E40" s="2">
        <v>6</v>
      </c>
      <c r="F40" s="2" t="s">
        <v>77</v>
      </c>
      <c r="G40" s="3">
        <v>4194304</v>
      </c>
      <c r="H40" s="3">
        <v>4096</v>
      </c>
      <c r="I40" s="3">
        <v>1024</v>
      </c>
      <c r="J40" s="2">
        <v>13.117000000000001</v>
      </c>
      <c r="K40" s="2">
        <v>36.084000000000003</v>
      </c>
      <c r="L40" s="2">
        <v>30.201000000000001</v>
      </c>
      <c r="M40" s="2">
        <v>5.883</v>
      </c>
      <c r="N40" s="2">
        <v>396.14699999999999</v>
      </c>
      <c r="O40" s="2">
        <v>77.167000000000002</v>
      </c>
      <c r="P40" s="2">
        <v>473.31400000000002</v>
      </c>
      <c r="Q40" s="2">
        <v>94.448999999999998</v>
      </c>
      <c r="R40" s="2">
        <v>18.398</v>
      </c>
      <c r="S40" s="2">
        <v>112.84699999999999</v>
      </c>
      <c r="T40" s="2">
        <v>83.7</v>
      </c>
      <c r="U40" s="2">
        <v>7.0420999999999996</v>
      </c>
      <c r="V40" s="2">
        <v>639.52</v>
      </c>
    </row>
    <row r="41" spans="1:22" x14ac:dyDescent="0.35">
      <c r="A41" s="2" t="s">
        <v>37</v>
      </c>
      <c r="B41" s="2" t="s">
        <v>42</v>
      </c>
      <c r="C41" s="2">
        <v>4</v>
      </c>
      <c r="D41" s="2" t="s">
        <v>78</v>
      </c>
      <c r="E41" s="2">
        <v>7</v>
      </c>
      <c r="F41" s="2" t="s">
        <v>79</v>
      </c>
      <c r="G41" s="3">
        <v>4194304</v>
      </c>
      <c r="H41" s="3">
        <v>1024</v>
      </c>
      <c r="I41" s="3">
        <v>4096</v>
      </c>
      <c r="J41" s="2">
        <v>12.850099999999999</v>
      </c>
      <c r="K41" s="2">
        <v>36.084000000000003</v>
      </c>
      <c r="L41" s="2">
        <v>30.201000000000001</v>
      </c>
      <c r="M41" s="2">
        <v>5.883</v>
      </c>
      <c r="N41" s="2">
        <v>388.08600000000001</v>
      </c>
      <c r="O41" s="2">
        <v>75.596999999999994</v>
      </c>
      <c r="P41" s="2">
        <v>463.68299999999999</v>
      </c>
      <c r="Q41" s="2">
        <v>92.527000000000001</v>
      </c>
      <c r="R41" s="2">
        <v>18.024000000000001</v>
      </c>
      <c r="S41" s="2">
        <v>110.551</v>
      </c>
      <c r="T41" s="2">
        <v>83.7</v>
      </c>
      <c r="U41" s="2">
        <v>7.1959999999999997</v>
      </c>
      <c r="V41" s="2">
        <v>652.79999999999995</v>
      </c>
    </row>
    <row r="42" spans="1:22" x14ac:dyDescent="0.35">
      <c r="A42" s="2" t="s">
        <v>37</v>
      </c>
      <c r="B42" s="2" t="s">
        <v>42</v>
      </c>
      <c r="C42" s="2">
        <v>4</v>
      </c>
      <c r="D42" s="2" t="s">
        <v>80</v>
      </c>
      <c r="E42" s="2">
        <v>8</v>
      </c>
      <c r="F42" s="2" t="s">
        <v>81</v>
      </c>
      <c r="G42" s="3">
        <v>4194304</v>
      </c>
      <c r="H42" s="3">
        <v>2048</v>
      </c>
      <c r="I42" s="3">
        <v>2048</v>
      </c>
      <c r="J42" s="2">
        <v>13.077400000000001</v>
      </c>
      <c r="K42" s="2">
        <v>36.084000000000003</v>
      </c>
      <c r="L42" s="2">
        <v>30.201000000000001</v>
      </c>
      <c r="M42" s="2">
        <v>5.883</v>
      </c>
      <c r="N42" s="2">
        <v>394.95100000000002</v>
      </c>
      <c r="O42" s="2">
        <v>76.933999999999997</v>
      </c>
      <c r="P42" s="2">
        <v>471.88499999999999</v>
      </c>
      <c r="Q42" s="2">
        <v>94.164000000000001</v>
      </c>
      <c r="R42" s="2">
        <v>18.343</v>
      </c>
      <c r="S42" s="2">
        <v>112.506</v>
      </c>
      <c r="T42" s="2">
        <v>83.7</v>
      </c>
      <c r="U42" s="2">
        <v>7.0711000000000004</v>
      </c>
      <c r="V42" s="2">
        <v>641.46</v>
      </c>
    </row>
    <row r="43" spans="1:22" x14ac:dyDescent="0.35">
      <c r="A43" s="2" t="s">
        <v>37</v>
      </c>
      <c r="B43" s="2" t="s">
        <v>42</v>
      </c>
      <c r="C43" s="2">
        <v>4</v>
      </c>
      <c r="D43" s="2" t="s">
        <v>82</v>
      </c>
      <c r="E43" s="2">
        <v>9</v>
      </c>
      <c r="F43" s="2" t="s">
        <v>83</v>
      </c>
      <c r="G43" s="3">
        <v>16777216</v>
      </c>
      <c r="H43" s="3">
        <v>4096</v>
      </c>
      <c r="I43" s="3">
        <v>4096</v>
      </c>
      <c r="J43" s="2">
        <v>52.096200000000003</v>
      </c>
      <c r="K43" s="2">
        <v>36.084000000000003</v>
      </c>
      <c r="L43" s="2">
        <v>30.201000000000001</v>
      </c>
      <c r="M43" s="2">
        <v>5.883</v>
      </c>
      <c r="N43" s="2">
        <v>1573.357</v>
      </c>
      <c r="O43" s="2">
        <v>306.48200000000003</v>
      </c>
      <c r="P43" s="2">
        <v>1879.8389999999999</v>
      </c>
      <c r="Q43" s="2">
        <v>93.778999999999996</v>
      </c>
      <c r="R43" s="2">
        <v>18.268000000000001</v>
      </c>
      <c r="S43" s="2">
        <v>112.047</v>
      </c>
      <c r="T43" s="2">
        <v>83.7</v>
      </c>
      <c r="U43" s="2">
        <v>7.0434999999999999</v>
      </c>
      <c r="V43" s="2">
        <v>644.09</v>
      </c>
    </row>
    <row r="44" spans="1:22" x14ac:dyDescent="0.35">
      <c r="A44" s="2" t="s">
        <v>37</v>
      </c>
      <c r="B44" s="2" t="s">
        <v>42</v>
      </c>
      <c r="C44" s="2">
        <v>4</v>
      </c>
      <c r="D44" s="2" t="s">
        <v>84</v>
      </c>
      <c r="E44" s="2">
        <v>10</v>
      </c>
      <c r="F44" s="2" t="s">
        <v>85</v>
      </c>
      <c r="G44" s="3">
        <v>16777216</v>
      </c>
      <c r="H44" s="3">
        <v>8192</v>
      </c>
      <c r="I44" s="3">
        <v>2048</v>
      </c>
      <c r="J44" s="2">
        <v>52.378799999999998</v>
      </c>
      <c r="K44" s="2">
        <v>36.084000000000003</v>
      </c>
      <c r="L44" s="2">
        <v>30.201000000000001</v>
      </c>
      <c r="M44" s="2">
        <v>5.883</v>
      </c>
      <c r="N44" s="2">
        <v>1581.8920000000001</v>
      </c>
      <c r="O44" s="2">
        <v>308.14400000000001</v>
      </c>
      <c r="P44" s="2">
        <v>1890.037</v>
      </c>
      <c r="Q44" s="2">
        <v>94.287999999999997</v>
      </c>
      <c r="R44" s="2">
        <v>18.367000000000001</v>
      </c>
      <c r="S44" s="2">
        <v>112.655</v>
      </c>
      <c r="T44" s="2">
        <v>83.7</v>
      </c>
      <c r="U44" s="2">
        <v>7.0395000000000003</v>
      </c>
      <c r="V44" s="2">
        <v>640.61</v>
      </c>
    </row>
    <row r="45" spans="1:22" x14ac:dyDescent="0.35">
      <c r="A45" s="2" t="s">
        <v>37</v>
      </c>
      <c r="B45" s="2" t="s">
        <v>42</v>
      </c>
      <c r="C45" s="2">
        <v>4</v>
      </c>
      <c r="D45" s="2" t="s">
        <v>86</v>
      </c>
      <c r="E45" s="2">
        <v>11</v>
      </c>
      <c r="F45" s="2" t="s">
        <v>87</v>
      </c>
      <c r="G45" s="3">
        <v>16777216</v>
      </c>
      <c r="H45" s="3">
        <v>2048</v>
      </c>
      <c r="I45" s="3">
        <v>8192</v>
      </c>
      <c r="J45" s="2">
        <v>52.020099999999999</v>
      </c>
      <c r="K45" s="2">
        <v>36.084000000000003</v>
      </c>
      <c r="L45" s="2">
        <v>30.201000000000001</v>
      </c>
      <c r="M45" s="2">
        <v>5.883</v>
      </c>
      <c r="N45" s="2">
        <v>1571.059</v>
      </c>
      <c r="O45" s="2">
        <v>306.03399999999999</v>
      </c>
      <c r="P45" s="2">
        <v>1877.0930000000001</v>
      </c>
      <c r="Q45" s="2">
        <v>93.641999999999996</v>
      </c>
      <c r="R45" s="2">
        <v>18.241</v>
      </c>
      <c r="S45" s="2">
        <v>111.883</v>
      </c>
      <c r="T45" s="2">
        <v>83.7</v>
      </c>
      <c r="U45" s="2">
        <v>7.1172000000000004</v>
      </c>
      <c r="V45" s="2">
        <v>645.03</v>
      </c>
    </row>
    <row r="46" spans="1:22" x14ac:dyDescent="0.35">
      <c r="A46" s="2" t="s">
        <v>37</v>
      </c>
      <c r="B46" s="2" t="s">
        <v>44</v>
      </c>
      <c r="C46" s="2">
        <v>5</v>
      </c>
      <c r="D46" s="2" t="s">
        <v>66</v>
      </c>
      <c r="E46" s="2">
        <v>1</v>
      </c>
      <c r="F46" s="2" t="s">
        <v>67</v>
      </c>
      <c r="G46" s="3">
        <v>262144</v>
      </c>
      <c r="H46" s="2">
        <v>512</v>
      </c>
      <c r="I46" s="2">
        <v>512</v>
      </c>
      <c r="J46" s="2">
        <v>0.4284</v>
      </c>
      <c r="K46" s="2">
        <v>36.338000000000001</v>
      </c>
      <c r="L46" s="2">
        <v>30.335999999999999</v>
      </c>
      <c r="M46" s="2">
        <v>6.0019999999999998</v>
      </c>
      <c r="N46" s="2">
        <v>12.996</v>
      </c>
      <c r="O46" s="2">
        <v>2.5710000000000002</v>
      </c>
      <c r="P46" s="2">
        <v>15.567</v>
      </c>
      <c r="Q46" s="2">
        <v>49.576000000000001</v>
      </c>
      <c r="R46" s="2">
        <v>9.8089999999999993</v>
      </c>
      <c r="S46" s="2">
        <v>59.384</v>
      </c>
      <c r="T46" s="2">
        <v>83.48</v>
      </c>
      <c r="U46" s="2">
        <v>13.395799999999999</v>
      </c>
      <c r="V46" s="2">
        <v>1223.7</v>
      </c>
    </row>
    <row r="47" spans="1:22" x14ac:dyDescent="0.35">
      <c r="A47" s="2" t="s">
        <v>37</v>
      </c>
      <c r="B47" s="2" t="s">
        <v>44</v>
      </c>
      <c r="C47" s="2">
        <v>5</v>
      </c>
      <c r="D47" s="2" t="s">
        <v>68</v>
      </c>
      <c r="E47" s="2">
        <v>2</v>
      </c>
      <c r="F47" s="2" t="s">
        <v>69</v>
      </c>
      <c r="G47" s="3">
        <v>589824</v>
      </c>
      <c r="H47" s="2">
        <v>768</v>
      </c>
      <c r="I47" s="2">
        <v>768</v>
      </c>
      <c r="J47" s="2">
        <v>0.94510000000000005</v>
      </c>
      <c r="K47" s="2">
        <v>36.338000000000001</v>
      </c>
      <c r="L47" s="2">
        <v>30.335999999999999</v>
      </c>
      <c r="M47" s="2">
        <v>6.0019999999999998</v>
      </c>
      <c r="N47" s="2">
        <v>28.670999999999999</v>
      </c>
      <c r="O47" s="2">
        <v>5.6719999999999997</v>
      </c>
      <c r="P47" s="2">
        <v>34.343000000000004</v>
      </c>
      <c r="Q47" s="2">
        <v>48.609000000000002</v>
      </c>
      <c r="R47" s="2">
        <v>9.6170000000000009</v>
      </c>
      <c r="S47" s="2">
        <v>58.225999999999999</v>
      </c>
      <c r="T47" s="2">
        <v>83.48</v>
      </c>
      <c r="U47" s="2">
        <v>13.6479</v>
      </c>
      <c r="V47" s="2">
        <v>1248.17</v>
      </c>
    </row>
    <row r="48" spans="1:22" x14ac:dyDescent="0.35">
      <c r="A48" s="2" t="s">
        <v>37</v>
      </c>
      <c r="B48" s="2" t="s">
        <v>44</v>
      </c>
      <c r="C48" s="2">
        <v>5</v>
      </c>
      <c r="D48" s="2" t="s">
        <v>70</v>
      </c>
      <c r="E48" s="2">
        <v>3</v>
      </c>
      <c r="F48" s="2" t="s">
        <v>71</v>
      </c>
      <c r="G48" s="3">
        <v>1048576</v>
      </c>
      <c r="H48" s="3">
        <v>1024</v>
      </c>
      <c r="I48" s="3">
        <v>1024</v>
      </c>
      <c r="J48" s="2">
        <v>1.6613</v>
      </c>
      <c r="K48" s="2">
        <v>36.338000000000001</v>
      </c>
      <c r="L48" s="2">
        <v>30.335999999999999</v>
      </c>
      <c r="M48" s="2">
        <v>6.0019999999999998</v>
      </c>
      <c r="N48" s="2">
        <v>50.396999999999998</v>
      </c>
      <c r="O48" s="2">
        <v>9.9710000000000001</v>
      </c>
      <c r="P48" s="2">
        <v>60.368000000000002</v>
      </c>
      <c r="Q48" s="2">
        <v>48.063000000000002</v>
      </c>
      <c r="R48" s="2">
        <v>9.5090000000000003</v>
      </c>
      <c r="S48" s="2">
        <v>57.572000000000003</v>
      </c>
      <c r="T48" s="2">
        <v>83.48</v>
      </c>
      <c r="U48" s="2">
        <v>13.7446</v>
      </c>
      <c r="V48" s="2">
        <v>1262.3800000000001</v>
      </c>
    </row>
    <row r="49" spans="1:22" x14ac:dyDescent="0.35">
      <c r="A49" s="2" t="s">
        <v>37</v>
      </c>
      <c r="B49" s="2" t="s">
        <v>44</v>
      </c>
      <c r="C49" s="2">
        <v>5</v>
      </c>
      <c r="D49" s="2" t="s">
        <v>72</v>
      </c>
      <c r="E49" s="2">
        <v>4</v>
      </c>
      <c r="F49" s="2" t="s">
        <v>73</v>
      </c>
      <c r="G49" s="3">
        <v>2359296</v>
      </c>
      <c r="H49" s="3">
        <v>3072</v>
      </c>
      <c r="I49" s="2">
        <v>768</v>
      </c>
      <c r="J49" s="2">
        <v>3.7804000000000002</v>
      </c>
      <c r="K49" s="2">
        <v>36.338000000000001</v>
      </c>
      <c r="L49" s="2">
        <v>30.335999999999999</v>
      </c>
      <c r="M49" s="2">
        <v>6.0019999999999998</v>
      </c>
      <c r="N49" s="2">
        <v>114.682</v>
      </c>
      <c r="O49" s="2">
        <v>22.69</v>
      </c>
      <c r="P49" s="2">
        <v>137.37200000000001</v>
      </c>
      <c r="Q49" s="2">
        <v>48.609000000000002</v>
      </c>
      <c r="R49" s="2">
        <v>9.6170000000000009</v>
      </c>
      <c r="S49" s="2">
        <v>58.225999999999999</v>
      </c>
      <c r="T49" s="2">
        <v>83.48</v>
      </c>
      <c r="U49" s="2">
        <v>13.6624</v>
      </c>
      <c r="V49" s="2">
        <v>1248.17</v>
      </c>
    </row>
    <row r="50" spans="1:22" x14ac:dyDescent="0.35">
      <c r="A50" s="2" t="s">
        <v>37</v>
      </c>
      <c r="B50" s="2" t="s">
        <v>44</v>
      </c>
      <c r="C50" s="2">
        <v>5</v>
      </c>
      <c r="D50" s="2" t="s">
        <v>74</v>
      </c>
      <c r="E50" s="2">
        <v>5</v>
      </c>
      <c r="F50" s="2" t="s">
        <v>75</v>
      </c>
      <c r="G50" s="3">
        <v>2359296</v>
      </c>
      <c r="H50" s="2">
        <v>768</v>
      </c>
      <c r="I50" s="3">
        <v>3072</v>
      </c>
      <c r="J50" s="2">
        <v>3.6716000000000002</v>
      </c>
      <c r="K50" s="2">
        <v>36.338000000000001</v>
      </c>
      <c r="L50" s="2">
        <v>30.335999999999999</v>
      </c>
      <c r="M50" s="2">
        <v>6.0019999999999998</v>
      </c>
      <c r="N50" s="2">
        <v>111.38200000000001</v>
      </c>
      <c r="O50" s="2">
        <v>22.036999999999999</v>
      </c>
      <c r="P50" s="2">
        <v>133.41900000000001</v>
      </c>
      <c r="Q50" s="2">
        <v>47.21</v>
      </c>
      <c r="R50" s="2">
        <v>9.34</v>
      </c>
      <c r="S50" s="2">
        <v>56.55</v>
      </c>
      <c r="T50" s="2">
        <v>83.48</v>
      </c>
      <c r="U50" s="2">
        <v>14.0877</v>
      </c>
      <c r="V50" s="2">
        <v>1285.17</v>
      </c>
    </row>
    <row r="51" spans="1:22" x14ac:dyDescent="0.35">
      <c r="A51" s="2" t="s">
        <v>37</v>
      </c>
      <c r="B51" s="2" t="s">
        <v>44</v>
      </c>
      <c r="C51" s="2">
        <v>5</v>
      </c>
      <c r="D51" s="2" t="s">
        <v>76</v>
      </c>
      <c r="E51" s="2">
        <v>6</v>
      </c>
      <c r="F51" s="2" t="s">
        <v>77</v>
      </c>
      <c r="G51" s="3">
        <v>4194304</v>
      </c>
      <c r="H51" s="3">
        <v>4096</v>
      </c>
      <c r="I51" s="3">
        <v>1024</v>
      </c>
      <c r="J51" s="2">
        <v>6.6542000000000003</v>
      </c>
      <c r="K51" s="2">
        <v>36.338000000000001</v>
      </c>
      <c r="L51" s="2">
        <v>30.335999999999999</v>
      </c>
      <c r="M51" s="2">
        <v>6.0019999999999998</v>
      </c>
      <c r="N51" s="2">
        <v>201.86199999999999</v>
      </c>
      <c r="O51" s="2">
        <v>39.939</v>
      </c>
      <c r="P51" s="2">
        <v>241.8</v>
      </c>
      <c r="Q51" s="2">
        <v>48.128</v>
      </c>
      <c r="R51" s="2">
        <v>9.5220000000000002</v>
      </c>
      <c r="S51" s="2">
        <v>57.65</v>
      </c>
      <c r="T51" s="2">
        <v>83.48</v>
      </c>
      <c r="U51" s="2">
        <v>13.784599999999999</v>
      </c>
      <c r="V51" s="2">
        <v>1260.6600000000001</v>
      </c>
    </row>
    <row r="52" spans="1:22" x14ac:dyDescent="0.35">
      <c r="A52" s="2" t="s">
        <v>37</v>
      </c>
      <c r="B52" s="2" t="s">
        <v>44</v>
      </c>
      <c r="C52" s="2">
        <v>5</v>
      </c>
      <c r="D52" s="2" t="s">
        <v>78</v>
      </c>
      <c r="E52" s="2">
        <v>7</v>
      </c>
      <c r="F52" s="2" t="s">
        <v>79</v>
      </c>
      <c r="G52" s="3">
        <v>4194304</v>
      </c>
      <c r="H52" s="3">
        <v>1024</v>
      </c>
      <c r="I52" s="3">
        <v>4096</v>
      </c>
      <c r="J52" s="2">
        <v>6.4390000000000001</v>
      </c>
      <c r="K52" s="2">
        <v>36.338000000000001</v>
      </c>
      <c r="L52" s="2">
        <v>30.335999999999999</v>
      </c>
      <c r="M52" s="2">
        <v>6.0019999999999998</v>
      </c>
      <c r="N52" s="2">
        <v>195.334</v>
      </c>
      <c r="O52" s="2">
        <v>38.646999999999998</v>
      </c>
      <c r="P52" s="2">
        <v>233.98</v>
      </c>
      <c r="Q52" s="2">
        <v>46.570999999999998</v>
      </c>
      <c r="R52" s="2">
        <v>9.2140000000000004</v>
      </c>
      <c r="S52" s="2">
        <v>55.784999999999997</v>
      </c>
      <c r="T52" s="2">
        <v>83.48</v>
      </c>
      <c r="U52" s="2">
        <v>14.2605</v>
      </c>
      <c r="V52" s="2">
        <v>1302.78</v>
      </c>
    </row>
    <row r="53" spans="1:22" x14ac:dyDescent="0.35">
      <c r="A53" s="2" t="s">
        <v>37</v>
      </c>
      <c r="B53" s="2" t="s">
        <v>44</v>
      </c>
      <c r="C53" s="2">
        <v>5</v>
      </c>
      <c r="D53" s="2" t="s">
        <v>80</v>
      </c>
      <c r="E53" s="2">
        <v>8</v>
      </c>
      <c r="F53" s="2" t="s">
        <v>81</v>
      </c>
      <c r="G53" s="3">
        <v>4194304</v>
      </c>
      <c r="H53" s="3">
        <v>2048</v>
      </c>
      <c r="I53" s="3">
        <v>2048</v>
      </c>
      <c r="J53" s="2">
        <v>6.5060000000000002</v>
      </c>
      <c r="K53" s="2">
        <v>36.338000000000001</v>
      </c>
      <c r="L53" s="2">
        <v>30.335999999999999</v>
      </c>
      <c r="M53" s="2">
        <v>6.0019999999999998</v>
      </c>
      <c r="N53" s="2">
        <v>197.36600000000001</v>
      </c>
      <c r="O53" s="2">
        <v>39.048999999999999</v>
      </c>
      <c r="P53" s="2">
        <v>236.41499999999999</v>
      </c>
      <c r="Q53" s="2">
        <v>47.055999999999997</v>
      </c>
      <c r="R53" s="2">
        <v>9.31</v>
      </c>
      <c r="S53" s="2">
        <v>56.366</v>
      </c>
      <c r="T53" s="2">
        <v>83.48</v>
      </c>
      <c r="U53" s="2">
        <v>14.113899999999999</v>
      </c>
      <c r="V53" s="2">
        <v>1289.3599999999999</v>
      </c>
    </row>
    <row r="54" spans="1:22" x14ac:dyDescent="0.35">
      <c r="A54" s="2" t="s">
        <v>37</v>
      </c>
      <c r="B54" s="2" t="s">
        <v>44</v>
      </c>
      <c r="C54" s="2">
        <v>5</v>
      </c>
      <c r="D54" s="2" t="s">
        <v>82</v>
      </c>
      <c r="E54" s="2">
        <v>9</v>
      </c>
      <c r="F54" s="2" t="s">
        <v>83</v>
      </c>
      <c r="G54" s="3">
        <v>16777216</v>
      </c>
      <c r="H54" s="3">
        <v>4096</v>
      </c>
      <c r="I54" s="3">
        <v>4096</v>
      </c>
      <c r="J54" s="2">
        <v>26.107700000000001</v>
      </c>
      <c r="K54" s="2">
        <v>36.338000000000001</v>
      </c>
      <c r="L54" s="2">
        <v>30.335999999999999</v>
      </c>
      <c r="M54" s="2">
        <v>6.0019999999999998</v>
      </c>
      <c r="N54" s="2">
        <v>792.00300000000004</v>
      </c>
      <c r="O54" s="2">
        <v>156.69800000000001</v>
      </c>
      <c r="P54" s="2">
        <v>948.702</v>
      </c>
      <c r="Q54" s="2">
        <v>47.207000000000001</v>
      </c>
      <c r="R54" s="2">
        <v>9.34</v>
      </c>
      <c r="S54" s="2">
        <v>56.546999999999997</v>
      </c>
      <c r="T54" s="2">
        <v>83.48</v>
      </c>
      <c r="U54" s="2">
        <v>13.9566</v>
      </c>
      <c r="V54" s="2">
        <v>1285.23</v>
      </c>
    </row>
    <row r="55" spans="1:22" x14ac:dyDescent="0.35">
      <c r="A55" s="2" t="s">
        <v>37</v>
      </c>
      <c r="B55" s="2" t="s">
        <v>44</v>
      </c>
      <c r="C55" s="2">
        <v>5</v>
      </c>
      <c r="D55" s="2" t="s">
        <v>84</v>
      </c>
      <c r="E55" s="2">
        <v>10</v>
      </c>
      <c r="F55" s="2" t="s">
        <v>85</v>
      </c>
      <c r="G55" s="3">
        <v>16777216</v>
      </c>
      <c r="H55" s="3">
        <v>8192</v>
      </c>
      <c r="I55" s="3">
        <v>2048</v>
      </c>
      <c r="J55" s="2">
        <v>26.165500000000002</v>
      </c>
      <c r="K55" s="2">
        <v>36.338000000000001</v>
      </c>
      <c r="L55" s="2">
        <v>30.335999999999999</v>
      </c>
      <c r="M55" s="2">
        <v>6.0019999999999998</v>
      </c>
      <c r="N55" s="2">
        <v>793.75699999999995</v>
      </c>
      <c r="O55" s="2">
        <v>157.04499999999999</v>
      </c>
      <c r="P55" s="2">
        <v>950.80200000000002</v>
      </c>
      <c r="Q55" s="2">
        <v>47.311999999999998</v>
      </c>
      <c r="R55" s="2">
        <v>9.3610000000000007</v>
      </c>
      <c r="S55" s="2">
        <v>56.671999999999997</v>
      </c>
      <c r="T55" s="2">
        <v>83.48</v>
      </c>
      <c r="U55" s="2">
        <v>13.993399999999999</v>
      </c>
      <c r="V55" s="2">
        <v>1282.3900000000001</v>
      </c>
    </row>
    <row r="56" spans="1:22" x14ac:dyDescent="0.35">
      <c r="A56" s="2" t="s">
        <v>37</v>
      </c>
      <c r="B56" s="2" t="s">
        <v>44</v>
      </c>
      <c r="C56" s="2">
        <v>5</v>
      </c>
      <c r="D56" s="2" t="s">
        <v>86</v>
      </c>
      <c r="E56" s="2">
        <v>11</v>
      </c>
      <c r="F56" s="2" t="s">
        <v>87</v>
      </c>
      <c r="G56" s="3">
        <v>16777216</v>
      </c>
      <c r="H56" s="3">
        <v>2048</v>
      </c>
      <c r="I56" s="3">
        <v>8192</v>
      </c>
      <c r="J56" s="2">
        <v>25.807200000000002</v>
      </c>
      <c r="K56" s="2">
        <v>36.338000000000001</v>
      </c>
      <c r="L56" s="2">
        <v>30.335999999999999</v>
      </c>
      <c r="M56" s="2">
        <v>6.0019999999999998</v>
      </c>
      <c r="N56" s="2">
        <v>782.88699999999994</v>
      </c>
      <c r="O56" s="2">
        <v>154.89500000000001</v>
      </c>
      <c r="P56" s="2">
        <v>937.78200000000004</v>
      </c>
      <c r="Q56" s="2">
        <v>46.664000000000001</v>
      </c>
      <c r="R56" s="2">
        <v>9.2319999999999993</v>
      </c>
      <c r="S56" s="2">
        <v>55.896000000000001</v>
      </c>
      <c r="T56" s="2">
        <v>83.48</v>
      </c>
      <c r="U56" s="2">
        <v>14.246</v>
      </c>
      <c r="V56" s="2">
        <v>1300.2</v>
      </c>
    </row>
    <row r="57" spans="1:22" x14ac:dyDescent="0.35">
      <c r="A57" s="2" t="s">
        <v>37</v>
      </c>
      <c r="B57" s="2" t="s">
        <v>46</v>
      </c>
      <c r="C57" s="2">
        <v>6</v>
      </c>
      <c r="D57" s="2" t="s">
        <v>66</v>
      </c>
      <c r="E57" s="2">
        <v>1</v>
      </c>
      <c r="F57" s="2" t="s">
        <v>67</v>
      </c>
      <c r="G57" s="3">
        <v>262144</v>
      </c>
      <c r="H57" s="2">
        <v>512</v>
      </c>
      <c r="I57" s="2">
        <v>512</v>
      </c>
      <c r="J57" s="2">
        <v>1.5274000000000001</v>
      </c>
      <c r="K57" s="2">
        <v>35.728999999999999</v>
      </c>
      <c r="L57" s="2">
        <v>30.259</v>
      </c>
      <c r="M57" s="2">
        <v>5.47</v>
      </c>
      <c r="N57" s="2">
        <v>46.218000000000004</v>
      </c>
      <c r="O57" s="2">
        <v>8.3550000000000004</v>
      </c>
      <c r="P57" s="2">
        <v>54.572000000000003</v>
      </c>
      <c r="Q57" s="2">
        <v>176.30600000000001</v>
      </c>
      <c r="R57" s="2">
        <v>31.870999999999999</v>
      </c>
      <c r="S57" s="2">
        <v>208.17699999999999</v>
      </c>
      <c r="T57" s="2">
        <v>84.69</v>
      </c>
      <c r="U57" s="2">
        <v>3.8212000000000002</v>
      </c>
      <c r="V57" s="2">
        <v>343.26</v>
      </c>
    </row>
    <row r="58" spans="1:22" x14ac:dyDescent="0.35">
      <c r="A58" s="2" t="s">
        <v>37</v>
      </c>
      <c r="B58" s="2" t="s">
        <v>46</v>
      </c>
      <c r="C58" s="2">
        <v>6</v>
      </c>
      <c r="D58" s="2" t="s">
        <v>68</v>
      </c>
      <c r="E58" s="2">
        <v>2</v>
      </c>
      <c r="F58" s="2" t="s">
        <v>69</v>
      </c>
      <c r="G58" s="3">
        <v>589824</v>
      </c>
      <c r="H58" s="2">
        <v>768</v>
      </c>
      <c r="I58" s="2">
        <v>768</v>
      </c>
      <c r="J58" s="2">
        <v>3.4472</v>
      </c>
      <c r="K58" s="2">
        <v>35.728999999999999</v>
      </c>
      <c r="L58" s="2">
        <v>30.259</v>
      </c>
      <c r="M58" s="2">
        <v>5.47</v>
      </c>
      <c r="N58" s="2">
        <v>104.309</v>
      </c>
      <c r="O58" s="2">
        <v>18.856000000000002</v>
      </c>
      <c r="P58" s="2">
        <v>123.16500000000001</v>
      </c>
      <c r="Q58" s="2">
        <v>176.84700000000001</v>
      </c>
      <c r="R58" s="2">
        <v>31.969000000000001</v>
      </c>
      <c r="S58" s="2">
        <v>208.81700000000001</v>
      </c>
      <c r="T58" s="2">
        <v>84.69</v>
      </c>
      <c r="U58" s="2">
        <v>3.8054999999999999</v>
      </c>
      <c r="V58" s="2">
        <v>342.2</v>
      </c>
    </row>
    <row r="59" spans="1:22" x14ac:dyDescent="0.35">
      <c r="A59" s="2" t="s">
        <v>37</v>
      </c>
      <c r="B59" s="2" t="s">
        <v>46</v>
      </c>
      <c r="C59" s="2">
        <v>6</v>
      </c>
      <c r="D59" s="2" t="s">
        <v>70</v>
      </c>
      <c r="E59" s="2">
        <v>3</v>
      </c>
      <c r="F59" s="2" t="s">
        <v>71</v>
      </c>
      <c r="G59" s="3">
        <v>1048576</v>
      </c>
      <c r="H59" s="3">
        <v>1024</v>
      </c>
      <c r="I59" s="3">
        <v>1024</v>
      </c>
      <c r="J59" s="2">
        <v>5.9927999999999999</v>
      </c>
      <c r="K59" s="2">
        <v>35.728999999999999</v>
      </c>
      <c r="L59" s="2">
        <v>30.259</v>
      </c>
      <c r="M59" s="2">
        <v>5.47</v>
      </c>
      <c r="N59" s="2">
        <v>181.33600000000001</v>
      </c>
      <c r="O59" s="2">
        <v>32.780999999999999</v>
      </c>
      <c r="P59" s="2">
        <v>214.11699999999999</v>
      </c>
      <c r="Q59" s="2">
        <v>172.93600000000001</v>
      </c>
      <c r="R59" s="2">
        <v>31.262</v>
      </c>
      <c r="S59" s="2">
        <v>204.19800000000001</v>
      </c>
      <c r="T59" s="2">
        <v>84.69</v>
      </c>
      <c r="U59" s="2">
        <v>3.8752</v>
      </c>
      <c r="V59" s="2">
        <v>349.95</v>
      </c>
    </row>
    <row r="60" spans="1:22" x14ac:dyDescent="0.35">
      <c r="A60" s="2" t="s">
        <v>37</v>
      </c>
      <c r="B60" s="2" t="s">
        <v>46</v>
      </c>
      <c r="C60" s="2">
        <v>6</v>
      </c>
      <c r="D60" s="2" t="s">
        <v>72</v>
      </c>
      <c r="E60" s="2">
        <v>4</v>
      </c>
      <c r="F60" s="2" t="s">
        <v>73</v>
      </c>
      <c r="G60" s="3">
        <v>2359296</v>
      </c>
      <c r="H60" s="3">
        <v>3072</v>
      </c>
      <c r="I60" s="2">
        <v>768</v>
      </c>
      <c r="J60" s="2">
        <v>13.815899999999999</v>
      </c>
      <c r="K60" s="2">
        <v>35.728999999999999</v>
      </c>
      <c r="L60" s="2">
        <v>30.259</v>
      </c>
      <c r="M60" s="2">
        <v>5.47</v>
      </c>
      <c r="N60" s="2">
        <v>418.05500000000001</v>
      </c>
      <c r="O60" s="2">
        <v>75.572999999999993</v>
      </c>
      <c r="P60" s="2">
        <v>493.62799999999999</v>
      </c>
      <c r="Q60" s="2">
        <v>177.19499999999999</v>
      </c>
      <c r="R60" s="2">
        <v>32.031999999999996</v>
      </c>
      <c r="S60" s="2">
        <v>209.227</v>
      </c>
      <c r="T60" s="2">
        <v>84.69</v>
      </c>
      <c r="U60" s="2">
        <v>3.8020999999999998</v>
      </c>
      <c r="V60" s="2">
        <v>341.53</v>
      </c>
    </row>
    <row r="61" spans="1:22" x14ac:dyDescent="0.35">
      <c r="A61" s="2" t="s">
        <v>37</v>
      </c>
      <c r="B61" s="2" t="s">
        <v>46</v>
      </c>
      <c r="C61" s="2">
        <v>6</v>
      </c>
      <c r="D61" s="2" t="s">
        <v>74</v>
      </c>
      <c r="E61" s="2">
        <v>5</v>
      </c>
      <c r="F61" s="2" t="s">
        <v>75</v>
      </c>
      <c r="G61" s="3">
        <v>2359296</v>
      </c>
      <c r="H61" s="2">
        <v>768</v>
      </c>
      <c r="I61" s="3">
        <v>3072</v>
      </c>
      <c r="J61" s="2">
        <v>13.8325</v>
      </c>
      <c r="K61" s="2">
        <v>35.728999999999999</v>
      </c>
      <c r="L61" s="2">
        <v>30.259</v>
      </c>
      <c r="M61" s="2">
        <v>5.47</v>
      </c>
      <c r="N61" s="2">
        <v>418.55799999999999</v>
      </c>
      <c r="O61" s="2">
        <v>75.664000000000001</v>
      </c>
      <c r="P61" s="2">
        <v>494.221</v>
      </c>
      <c r="Q61" s="2">
        <v>177.40799999999999</v>
      </c>
      <c r="R61" s="2">
        <v>32.07</v>
      </c>
      <c r="S61" s="2">
        <v>209.47800000000001</v>
      </c>
      <c r="T61" s="2">
        <v>84.69</v>
      </c>
      <c r="U61" s="2">
        <v>3.8031000000000001</v>
      </c>
      <c r="V61" s="2">
        <v>341.12</v>
      </c>
    </row>
    <row r="62" spans="1:22" x14ac:dyDescent="0.35">
      <c r="A62" s="2" t="s">
        <v>37</v>
      </c>
      <c r="B62" s="2" t="s">
        <v>46</v>
      </c>
      <c r="C62" s="2">
        <v>6</v>
      </c>
      <c r="D62" s="2" t="s">
        <v>76</v>
      </c>
      <c r="E62" s="2">
        <v>6</v>
      </c>
      <c r="F62" s="2" t="s">
        <v>77</v>
      </c>
      <c r="G62" s="3">
        <v>4194304</v>
      </c>
      <c r="H62" s="3">
        <v>4096</v>
      </c>
      <c r="I62" s="3">
        <v>1024</v>
      </c>
      <c r="J62" s="2">
        <v>24.3049</v>
      </c>
      <c r="K62" s="2">
        <v>35.728999999999999</v>
      </c>
      <c r="L62" s="2">
        <v>30.259</v>
      </c>
      <c r="M62" s="2">
        <v>5.47</v>
      </c>
      <c r="N62" s="2">
        <v>735.44200000000001</v>
      </c>
      <c r="O62" s="2">
        <v>132.94800000000001</v>
      </c>
      <c r="P62" s="2">
        <v>868.39</v>
      </c>
      <c r="Q62" s="2">
        <v>175.34299999999999</v>
      </c>
      <c r="R62" s="2">
        <v>31.696999999999999</v>
      </c>
      <c r="S62" s="2">
        <v>207.04</v>
      </c>
      <c r="T62" s="2">
        <v>84.69</v>
      </c>
      <c r="U62" s="2">
        <v>3.8382999999999998</v>
      </c>
      <c r="V62" s="2">
        <v>345.14</v>
      </c>
    </row>
    <row r="63" spans="1:22" x14ac:dyDescent="0.35">
      <c r="A63" s="2" t="s">
        <v>37</v>
      </c>
      <c r="B63" s="2" t="s">
        <v>46</v>
      </c>
      <c r="C63" s="2">
        <v>6</v>
      </c>
      <c r="D63" s="2" t="s">
        <v>78</v>
      </c>
      <c r="E63" s="2">
        <v>7</v>
      </c>
      <c r="F63" s="2" t="s">
        <v>79</v>
      </c>
      <c r="G63" s="3">
        <v>4194304</v>
      </c>
      <c r="H63" s="3">
        <v>1024</v>
      </c>
      <c r="I63" s="3">
        <v>4096</v>
      </c>
      <c r="J63" s="2">
        <v>24.102799999999998</v>
      </c>
      <c r="K63" s="2">
        <v>35.728999999999999</v>
      </c>
      <c r="L63" s="2">
        <v>30.259</v>
      </c>
      <c r="M63" s="2">
        <v>5.47</v>
      </c>
      <c r="N63" s="2">
        <v>729.327</v>
      </c>
      <c r="O63" s="2">
        <v>131.84200000000001</v>
      </c>
      <c r="P63" s="2">
        <v>861.16899999999998</v>
      </c>
      <c r="Q63" s="2">
        <v>173.88499999999999</v>
      </c>
      <c r="R63" s="2">
        <v>31.434000000000001</v>
      </c>
      <c r="S63" s="2">
        <v>205.31899999999999</v>
      </c>
      <c r="T63" s="2">
        <v>84.69</v>
      </c>
      <c r="U63" s="2">
        <v>3.8746</v>
      </c>
      <c r="V63" s="2">
        <v>348.03</v>
      </c>
    </row>
    <row r="64" spans="1:22" x14ac:dyDescent="0.35">
      <c r="A64" s="2" t="s">
        <v>37</v>
      </c>
      <c r="B64" s="2" t="s">
        <v>46</v>
      </c>
      <c r="C64" s="2">
        <v>6</v>
      </c>
      <c r="D64" s="2" t="s">
        <v>80</v>
      </c>
      <c r="E64" s="2">
        <v>8</v>
      </c>
      <c r="F64" s="2" t="s">
        <v>81</v>
      </c>
      <c r="G64" s="3">
        <v>4194304</v>
      </c>
      <c r="H64" s="3">
        <v>2048</v>
      </c>
      <c r="I64" s="3">
        <v>2048</v>
      </c>
      <c r="J64" s="2">
        <v>24.3017</v>
      </c>
      <c r="K64" s="2">
        <v>35.728999999999999</v>
      </c>
      <c r="L64" s="2">
        <v>30.259</v>
      </c>
      <c r="M64" s="2">
        <v>5.47</v>
      </c>
      <c r="N64" s="2">
        <v>735.34500000000003</v>
      </c>
      <c r="O64" s="2">
        <v>132.93</v>
      </c>
      <c r="P64" s="2">
        <v>868.27499999999998</v>
      </c>
      <c r="Q64" s="2">
        <v>175.32</v>
      </c>
      <c r="R64" s="2">
        <v>31.693000000000001</v>
      </c>
      <c r="S64" s="2">
        <v>207.01300000000001</v>
      </c>
      <c r="T64" s="2">
        <v>84.69</v>
      </c>
      <c r="U64" s="2">
        <v>3.8429000000000002</v>
      </c>
      <c r="V64" s="2">
        <v>345.19</v>
      </c>
    </row>
    <row r="65" spans="1:22" x14ac:dyDescent="0.35">
      <c r="A65" s="2" t="s">
        <v>37</v>
      </c>
      <c r="B65" s="2" t="s">
        <v>46</v>
      </c>
      <c r="C65" s="2">
        <v>6</v>
      </c>
      <c r="D65" s="2" t="s">
        <v>82</v>
      </c>
      <c r="E65" s="2">
        <v>9</v>
      </c>
      <c r="F65" s="2" t="s">
        <v>83</v>
      </c>
      <c r="G65" s="3">
        <v>16777216</v>
      </c>
      <c r="H65" s="3">
        <v>4096</v>
      </c>
      <c r="I65" s="3">
        <v>4096</v>
      </c>
      <c r="J65" s="2">
        <v>96.155600000000007</v>
      </c>
      <c r="K65" s="2">
        <v>35.728999999999999</v>
      </c>
      <c r="L65" s="2">
        <v>30.259</v>
      </c>
      <c r="M65" s="2">
        <v>5.47</v>
      </c>
      <c r="N65" s="2">
        <v>2909.5720000000001</v>
      </c>
      <c r="O65" s="2">
        <v>525.971</v>
      </c>
      <c r="P65" s="2">
        <v>3435.5430000000001</v>
      </c>
      <c r="Q65" s="2">
        <v>173.42400000000001</v>
      </c>
      <c r="R65" s="2">
        <v>31.35</v>
      </c>
      <c r="S65" s="2">
        <v>204.774</v>
      </c>
      <c r="T65" s="2">
        <v>84.69</v>
      </c>
      <c r="U65" s="2">
        <v>3.8540000000000001</v>
      </c>
      <c r="V65" s="2">
        <v>348.96</v>
      </c>
    </row>
    <row r="66" spans="1:22" x14ac:dyDescent="0.35">
      <c r="A66" s="2" t="s">
        <v>37</v>
      </c>
      <c r="B66" s="2" t="s">
        <v>46</v>
      </c>
      <c r="C66" s="2">
        <v>6</v>
      </c>
      <c r="D66" s="2" t="s">
        <v>84</v>
      </c>
      <c r="E66" s="2">
        <v>10</v>
      </c>
      <c r="F66" s="2" t="s">
        <v>85</v>
      </c>
      <c r="G66" s="3">
        <v>16777216</v>
      </c>
      <c r="H66" s="3">
        <v>8192</v>
      </c>
      <c r="I66" s="3">
        <v>2048</v>
      </c>
      <c r="J66" s="2">
        <v>97.299400000000006</v>
      </c>
      <c r="K66" s="2">
        <v>35.728999999999999</v>
      </c>
      <c r="L66" s="2">
        <v>30.259</v>
      </c>
      <c r="M66" s="2">
        <v>5.47</v>
      </c>
      <c r="N66" s="2">
        <v>2944.183</v>
      </c>
      <c r="O66" s="2">
        <v>532.22799999999995</v>
      </c>
      <c r="P66" s="2">
        <v>3476.41</v>
      </c>
      <c r="Q66" s="2">
        <v>175.48699999999999</v>
      </c>
      <c r="R66" s="2">
        <v>31.722999999999999</v>
      </c>
      <c r="S66" s="2">
        <v>207.21</v>
      </c>
      <c r="T66" s="2">
        <v>84.69</v>
      </c>
      <c r="U66" s="2">
        <v>3.8271999999999999</v>
      </c>
      <c r="V66" s="2">
        <v>344.86</v>
      </c>
    </row>
    <row r="67" spans="1:22" x14ac:dyDescent="0.35">
      <c r="A67" s="2" t="s">
        <v>37</v>
      </c>
      <c r="B67" s="2" t="s">
        <v>46</v>
      </c>
      <c r="C67" s="2">
        <v>6</v>
      </c>
      <c r="D67" s="2" t="s">
        <v>86</v>
      </c>
      <c r="E67" s="2">
        <v>11</v>
      </c>
      <c r="F67" s="2" t="s">
        <v>87</v>
      </c>
      <c r="G67" s="3">
        <v>16777216</v>
      </c>
      <c r="H67" s="3">
        <v>2048</v>
      </c>
      <c r="I67" s="3">
        <v>8192</v>
      </c>
      <c r="J67" s="2">
        <v>96.775400000000005</v>
      </c>
      <c r="K67" s="2">
        <v>35.728999999999999</v>
      </c>
      <c r="L67" s="2">
        <v>30.259</v>
      </c>
      <c r="M67" s="2">
        <v>5.47</v>
      </c>
      <c r="N67" s="2">
        <v>2928.3270000000002</v>
      </c>
      <c r="O67" s="2">
        <v>529.36099999999999</v>
      </c>
      <c r="P67" s="2">
        <v>3457.6880000000001</v>
      </c>
      <c r="Q67" s="2">
        <v>174.542</v>
      </c>
      <c r="R67" s="2">
        <v>31.552</v>
      </c>
      <c r="S67" s="2">
        <v>206.09399999999999</v>
      </c>
      <c r="T67" s="2">
        <v>84.69</v>
      </c>
      <c r="U67" s="2">
        <v>3.8637000000000001</v>
      </c>
      <c r="V67" s="2">
        <v>346.72</v>
      </c>
    </row>
  </sheetData>
  <autoFilter ref="A1:V67" xr:uid="{00000000-0009-0000-0000-000005000000}"/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BB28-5A63-4ED7-9377-ABB7202458C9}">
  <sheetPr>
    <tabColor rgb="FFFFFF00"/>
  </sheetPr>
  <dimension ref="A1:X73"/>
  <sheetViews>
    <sheetView topLeftCell="U1" zoomScale="40" zoomScaleNormal="40" workbookViewId="0">
      <pane ySplit="1" topLeftCell="A2" activePane="bottomLeft" state="frozen"/>
      <selection pane="bottomLeft" activeCell="BC35" sqref="BC35"/>
    </sheetView>
  </sheetViews>
  <sheetFormatPr defaultRowHeight="14.5" x14ac:dyDescent="0.35"/>
  <cols>
    <col min="1" max="3" width="10" customWidth="1"/>
    <col min="4" max="4" width="12" customWidth="1"/>
    <col min="5" max="5" width="17" customWidth="1"/>
    <col min="6" max="6" width="13" customWidth="1"/>
    <col min="7" max="7" width="16" customWidth="1"/>
    <col min="8" max="10" width="10" customWidth="1"/>
    <col min="11" max="11" width="18" customWidth="1"/>
    <col min="12" max="12" width="10" customWidth="1"/>
    <col min="13" max="13" width="23" customWidth="1"/>
    <col min="14" max="14" width="21" customWidth="1"/>
    <col min="15" max="15" width="15" customWidth="1"/>
    <col min="16" max="16" width="18" customWidth="1"/>
    <col min="17" max="18" width="15" customWidth="1"/>
    <col min="19" max="19" width="18" customWidth="1"/>
    <col min="20" max="20" width="20" customWidth="1"/>
    <col min="21" max="21" width="19" customWidth="1"/>
    <col min="22" max="22" width="15" customWidth="1"/>
    <col min="23" max="23" width="12" customWidth="1"/>
    <col min="24" max="24" width="13" customWidth="1"/>
  </cols>
  <sheetData>
    <row r="1" spans="1:24" ht="30" customHeight="1" x14ac:dyDescent="0.35">
      <c r="A1" s="1" t="s">
        <v>0</v>
      </c>
      <c r="B1" s="1" t="s">
        <v>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3</v>
      </c>
      <c r="H1" s="1" t="s">
        <v>6</v>
      </c>
      <c r="I1" s="1" t="s">
        <v>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18</v>
      </c>
      <c r="Q1" s="1" t="s">
        <v>19</v>
      </c>
      <c r="R1" s="1" t="s">
        <v>64</v>
      </c>
      <c r="S1" s="1" t="s">
        <v>20</v>
      </c>
      <c r="T1" s="1" t="s">
        <v>65</v>
      </c>
      <c r="U1" s="1" t="s">
        <v>21</v>
      </c>
      <c r="V1" s="1" t="s">
        <v>22</v>
      </c>
      <c r="W1" s="1" t="s">
        <v>13</v>
      </c>
      <c r="X1" s="1" t="s">
        <v>194</v>
      </c>
    </row>
    <row r="2" spans="1:24" x14ac:dyDescent="0.35">
      <c r="A2" s="2" t="s">
        <v>34</v>
      </c>
      <c r="B2" s="2" t="s">
        <v>34</v>
      </c>
      <c r="C2" s="2" t="s">
        <v>66</v>
      </c>
      <c r="D2" s="2" t="s">
        <v>67</v>
      </c>
      <c r="E2" s="3">
        <v>262144</v>
      </c>
      <c r="F2" s="2">
        <v>1</v>
      </c>
      <c r="G2" s="2">
        <v>1</v>
      </c>
      <c r="H2" s="2">
        <v>512</v>
      </c>
      <c r="I2" s="2">
        <v>512</v>
      </c>
      <c r="J2" s="2">
        <v>16</v>
      </c>
      <c r="K2" s="3">
        <v>2048</v>
      </c>
      <c r="L2" s="3">
        <v>1024</v>
      </c>
      <c r="M2" s="2">
        <v>6.5734000000000004</v>
      </c>
      <c r="N2" s="2">
        <v>6.3014999999999999</v>
      </c>
      <c r="O2" s="2">
        <v>0.95860000000000001</v>
      </c>
      <c r="P2" s="2">
        <v>79.760000000000005</v>
      </c>
      <c r="Q2" s="2">
        <v>79.760000000000005</v>
      </c>
      <c r="R2" s="2">
        <v>79.760000000000005</v>
      </c>
      <c r="S2" s="2">
        <v>1</v>
      </c>
      <c r="T2" s="2">
        <v>1</v>
      </c>
      <c r="W2" s="2">
        <v>0.51100000000000001</v>
      </c>
      <c r="X2" s="2" t="s">
        <v>195</v>
      </c>
    </row>
    <row r="3" spans="1:24" x14ac:dyDescent="0.35">
      <c r="A3" s="2" t="s">
        <v>34</v>
      </c>
      <c r="B3" s="2" t="s">
        <v>34</v>
      </c>
      <c r="C3" s="2" t="s">
        <v>68</v>
      </c>
      <c r="D3" s="2" t="s">
        <v>69</v>
      </c>
      <c r="E3" s="3">
        <v>589824</v>
      </c>
      <c r="F3" s="2">
        <v>2</v>
      </c>
      <c r="G3" s="2">
        <v>1</v>
      </c>
      <c r="H3" s="2">
        <v>768</v>
      </c>
      <c r="I3" s="2">
        <v>768</v>
      </c>
      <c r="J3" s="2">
        <v>24</v>
      </c>
      <c r="K3" s="3">
        <v>4608</v>
      </c>
      <c r="L3" s="2">
        <v>456</v>
      </c>
      <c r="M3" s="2">
        <v>14.7746</v>
      </c>
      <c r="N3" s="2">
        <v>14.1785</v>
      </c>
      <c r="O3" s="2">
        <v>0.9597</v>
      </c>
      <c r="P3" s="2">
        <v>79.84</v>
      </c>
      <c r="Q3" s="2">
        <v>79.84</v>
      </c>
      <c r="R3" s="2">
        <v>79.84</v>
      </c>
      <c r="S3" s="2">
        <v>1</v>
      </c>
      <c r="T3" s="2">
        <v>1</v>
      </c>
      <c r="W3" s="2">
        <v>0.51200000000000001</v>
      </c>
      <c r="X3" s="2" t="s">
        <v>195</v>
      </c>
    </row>
    <row r="4" spans="1:24" x14ac:dyDescent="0.35">
      <c r="A4" s="2" t="s">
        <v>34</v>
      </c>
      <c r="B4" s="2" t="s">
        <v>34</v>
      </c>
      <c r="C4" s="2" t="s">
        <v>70</v>
      </c>
      <c r="D4" s="2" t="s">
        <v>71</v>
      </c>
      <c r="E4" s="3">
        <v>1048576</v>
      </c>
      <c r="F4" s="2">
        <v>3</v>
      </c>
      <c r="G4" s="2">
        <v>1</v>
      </c>
      <c r="H4" s="3">
        <v>1024</v>
      </c>
      <c r="I4" s="3">
        <v>1024</v>
      </c>
      <c r="J4" s="2">
        <v>32</v>
      </c>
      <c r="K4" s="3">
        <v>8192</v>
      </c>
      <c r="L4" s="2">
        <v>256</v>
      </c>
      <c r="M4" s="2">
        <v>26.155000000000001</v>
      </c>
      <c r="N4" s="2">
        <v>25.206199999999999</v>
      </c>
      <c r="O4" s="2">
        <v>0.9637</v>
      </c>
      <c r="P4" s="2">
        <v>80.180000000000007</v>
      </c>
      <c r="Q4" s="2">
        <v>80.180000000000007</v>
      </c>
      <c r="R4" s="2">
        <v>80.180000000000007</v>
      </c>
      <c r="S4" s="2">
        <v>1</v>
      </c>
      <c r="T4" s="2">
        <v>1</v>
      </c>
      <c r="W4" s="2">
        <v>0.54800000000000004</v>
      </c>
      <c r="X4" s="2" t="s">
        <v>195</v>
      </c>
    </row>
    <row r="5" spans="1:24" x14ac:dyDescent="0.35">
      <c r="A5" s="2" t="s">
        <v>34</v>
      </c>
      <c r="B5" s="2" t="s">
        <v>34</v>
      </c>
      <c r="C5" s="2" t="s">
        <v>72</v>
      </c>
      <c r="D5" s="2" t="s">
        <v>73</v>
      </c>
      <c r="E5" s="3">
        <v>2359296</v>
      </c>
      <c r="F5" s="2">
        <v>4</v>
      </c>
      <c r="G5" s="2">
        <v>1</v>
      </c>
      <c r="H5" s="3">
        <v>3072</v>
      </c>
      <c r="I5" s="2">
        <v>768</v>
      </c>
      <c r="J5" s="2">
        <v>24</v>
      </c>
      <c r="K5" s="3">
        <v>18432</v>
      </c>
      <c r="L5" s="2">
        <v>114</v>
      </c>
      <c r="M5" s="2">
        <v>59.161200000000001</v>
      </c>
      <c r="N5" s="2">
        <v>56.713799999999999</v>
      </c>
      <c r="O5" s="2">
        <v>0.95860000000000001</v>
      </c>
      <c r="P5" s="2">
        <v>79.760000000000005</v>
      </c>
      <c r="Q5" s="2">
        <v>79.760000000000005</v>
      </c>
      <c r="R5" s="2">
        <v>79.760000000000005</v>
      </c>
      <c r="S5" s="2">
        <v>1</v>
      </c>
      <c r="T5" s="2">
        <v>1</v>
      </c>
      <c r="W5" s="2">
        <v>0.42299999999999999</v>
      </c>
      <c r="X5" s="2" t="s">
        <v>195</v>
      </c>
    </row>
    <row r="6" spans="1:24" x14ac:dyDescent="0.35">
      <c r="A6" s="2" t="s">
        <v>34</v>
      </c>
      <c r="B6" s="2" t="s">
        <v>34</v>
      </c>
      <c r="C6" s="2" t="s">
        <v>74</v>
      </c>
      <c r="D6" s="2" t="s">
        <v>75</v>
      </c>
      <c r="E6" s="3">
        <v>2359296</v>
      </c>
      <c r="F6" s="2">
        <v>5</v>
      </c>
      <c r="G6" s="2">
        <v>1</v>
      </c>
      <c r="H6" s="2">
        <v>768</v>
      </c>
      <c r="I6" s="3">
        <v>3072</v>
      </c>
      <c r="J6" s="2">
        <v>96</v>
      </c>
      <c r="K6" s="3">
        <v>18432</v>
      </c>
      <c r="L6" s="2">
        <v>114</v>
      </c>
      <c r="M6" s="2">
        <v>59.247300000000003</v>
      </c>
      <c r="N6" s="2">
        <v>56.713799999999999</v>
      </c>
      <c r="O6" s="2">
        <v>0.95720000000000005</v>
      </c>
      <c r="P6" s="2">
        <v>79.64</v>
      </c>
      <c r="Q6" s="2">
        <v>79.64</v>
      </c>
      <c r="R6" s="2">
        <v>79.64</v>
      </c>
      <c r="S6" s="2">
        <v>1</v>
      </c>
      <c r="T6" s="2">
        <v>1</v>
      </c>
      <c r="W6" s="2">
        <v>0.318</v>
      </c>
      <c r="X6" s="2" t="s">
        <v>195</v>
      </c>
    </row>
    <row r="7" spans="1:24" x14ac:dyDescent="0.35">
      <c r="A7" s="2" t="s">
        <v>34</v>
      </c>
      <c r="B7" s="2" t="s">
        <v>34</v>
      </c>
      <c r="C7" s="2" t="s">
        <v>76</v>
      </c>
      <c r="D7" s="2" t="s">
        <v>77</v>
      </c>
      <c r="E7" s="3">
        <v>4194304</v>
      </c>
      <c r="F7" s="2">
        <v>6</v>
      </c>
      <c r="G7" s="2">
        <v>1</v>
      </c>
      <c r="H7" s="3">
        <v>4096</v>
      </c>
      <c r="I7" s="3">
        <v>1024</v>
      </c>
      <c r="J7" s="2">
        <v>32</v>
      </c>
      <c r="K7" s="3">
        <v>32768</v>
      </c>
      <c r="L7" s="2">
        <v>64</v>
      </c>
      <c r="M7" s="2">
        <v>105.0663</v>
      </c>
      <c r="N7" s="2">
        <v>100.8246</v>
      </c>
      <c r="O7" s="2">
        <v>0.95960000000000001</v>
      </c>
      <c r="P7" s="2">
        <v>79.84</v>
      </c>
      <c r="Q7" s="2">
        <v>79.84</v>
      </c>
      <c r="R7" s="2">
        <v>79.84</v>
      </c>
      <c r="S7" s="2">
        <v>1</v>
      </c>
      <c r="T7" s="2">
        <v>1</v>
      </c>
      <c r="W7" s="2">
        <v>0.42799999999999999</v>
      </c>
      <c r="X7" s="2" t="s">
        <v>195</v>
      </c>
    </row>
    <row r="8" spans="1:24" x14ac:dyDescent="0.35">
      <c r="A8" s="2" t="s">
        <v>34</v>
      </c>
      <c r="B8" s="2" t="s">
        <v>34</v>
      </c>
      <c r="C8" s="2" t="s">
        <v>78</v>
      </c>
      <c r="D8" s="2" t="s">
        <v>79</v>
      </c>
      <c r="E8" s="3">
        <v>4194304</v>
      </c>
      <c r="F8" s="2">
        <v>7</v>
      </c>
      <c r="G8" s="2">
        <v>1</v>
      </c>
      <c r="H8" s="3">
        <v>1024</v>
      </c>
      <c r="I8" s="3">
        <v>4096</v>
      </c>
      <c r="J8" s="2">
        <v>128</v>
      </c>
      <c r="K8" s="3">
        <v>32768</v>
      </c>
      <c r="L8" s="2">
        <v>64</v>
      </c>
      <c r="M8" s="2">
        <v>105.1784</v>
      </c>
      <c r="N8" s="2">
        <v>100.8246</v>
      </c>
      <c r="O8" s="2">
        <v>0.95860000000000001</v>
      </c>
      <c r="P8" s="2">
        <v>79.760000000000005</v>
      </c>
      <c r="Q8" s="2">
        <v>79.760000000000005</v>
      </c>
      <c r="R8" s="2">
        <v>79.760000000000005</v>
      </c>
      <c r="S8" s="2">
        <v>1</v>
      </c>
      <c r="T8" s="2">
        <v>1</v>
      </c>
      <c r="W8" s="2">
        <v>1.1619999999999999</v>
      </c>
      <c r="X8" s="2" t="s">
        <v>195</v>
      </c>
    </row>
    <row r="9" spans="1:24" x14ac:dyDescent="0.35">
      <c r="A9" s="2" t="s">
        <v>34</v>
      </c>
      <c r="B9" s="2" t="s">
        <v>34</v>
      </c>
      <c r="C9" s="2" t="s">
        <v>80</v>
      </c>
      <c r="D9" s="2" t="s">
        <v>81</v>
      </c>
      <c r="E9" s="3">
        <v>4194304</v>
      </c>
      <c r="F9" s="2">
        <v>8</v>
      </c>
      <c r="G9" s="2">
        <v>1</v>
      </c>
      <c r="H9" s="3">
        <v>2048</v>
      </c>
      <c r="I9" s="3">
        <v>2048</v>
      </c>
      <c r="J9" s="2">
        <v>64</v>
      </c>
      <c r="K9" s="3">
        <v>32768</v>
      </c>
      <c r="L9" s="2">
        <v>64</v>
      </c>
      <c r="M9" s="2">
        <v>105.1802</v>
      </c>
      <c r="N9" s="2">
        <v>100.8246</v>
      </c>
      <c r="O9" s="2">
        <v>0.95860000000000001</v>
      </c>
      <c r="P9" s="2">
        <v>79.75</v>
      </c>
      <c r="Q9" s="2">
        <v>79.75</v>
      </c>
      <c r="R9" s="2">
        <v>79.75</v>
      </c>
      <c r="S9" s="2">
        <v>1</v>
      </c>
      <c r="T9" s="2">
        <v>1</v>
      </c>
      <c r="W9" s="2">
        <v>0.63300000000000001</v>
      </c>
      <c r="X9" s="2" t="s">
        <v>195</v>
      </c>
    </row>
    <row r="10" spans="1:24" x14ac:dyDescent="0.35">
      <c r="A10" s="2" t="s">
        <v>34</v>
      </c>
      <c r="B10" s="2" t="s">
        <v>34</v>
      </c>
      <c r="C10" s="2" t="s">
        <v>82</v>
      </c>
      <c r="D10" s="2" t="s">
        <v>83</v>
      </c>
      <c r="E10" s="3">
        <v>16777216</v>
      </c>
      <c r="F10" s="2">
        <v>9</v>
      </c>
      <c r="G10" s="2">
        <v>1</v>
      </c>
      <c r="H10" s="3">
        <v>4096</v>
      </c>
      <c r="I10" s="3">
        <v>4096</v>
      </c>
      <c r="J10" s="2">
        <v>128</v>
      </c>
      <c r="K10" s="3">
        <v>131072</v>
      </c>
      <c r="L10" s="2">
        <v>16</v>
      </c>
      <c r="M10" s="2">
        <v>417.36939999999998</v>
      </c>
      <c r="N10" s="2">
        <v>403.29849999999999</v>
      </c>
      <c r="O10" s="2">
        <v>0.96630000000000005</v>
      </c>
      <c r="P10" s="2">
        <v>80.400000000000006</v>
      </c>
      <c r="Q10" s="2">
        <v>80.400000000000006</v>
      </c>
      <c r="R10" s="2">
        <v>80.400000000000006</v>
      </c>
      <c r="S10" s="2">
        <v>1</v>
      </c>
      <c r="T10" s="2">
        <v>1</v>
      </c>
      <c r="W10" s="2">
        <v>1.9259999999999999</v>
      </c>
      <c r="X10" s="2" t="s">
        <v>195</v>
      </c>
    </row>
    <row r="11" spans="1:24" x14ac:dyDescent="0.35">
      <c r="A11" s="2" t="s">
        <v>34</v>
      </c>
      <c r="B11" s="2" t="s">
        <v>34</v>
      </c>
      <c r="C11" s="2" t="s">
        <v>84</v>
      </c>
      <c r="D11" s="2" t="s">
        <v>85</v>
      </c>
      <c r="E11" s="3">
        <v>16777216</v>
      </c>
      <c r="F11" s="2">
        <v>10</v>
      </c>
      <c r="G11" s="2">
        <v>1</v>
      </c>
      <c r="H11" s="3">
        <v>8192</v>
      </c>
      <c r="I11" s="3">
        <v>2048</v>
      </c>
      <c r="J11" s="2">
        <v>64</v>
      </c>
      <c r="K11" s="3">
        <v>131072</v>
      </c>
      <c r="L11" s="2">
        <v>16</v>
      </c>
      <c r="M11" s="2">
        <v>419.39580000000001</v>
      </c>
      <c r="N11" s="2">
        <v>403.29849999999999</v>
      </c>
      <c r="O11" s="2">
        <v>0.96160000000000001</v>
      </c>
      <c r="P11" s="2">
        <v>80.010000000000005</v>
      </c>
      <c r="Q11" s="2">
        <v>80.010000000000005</v>
      </c>
      <c r="R11" s="2">
        <v>80.010000000000005</v>
      </c>
      <c r="S11" s="2">
        <v>1</v>
      </c>
      <c r="T11" s="2">
        <v>1</v>
      </c>
      <c r="W11" s="2">
        <v>1.046</v>
      </c>
      <c r="X11" s="2" t="s">
        <v>195</v>
      </c>
    </row>
    <row r="12" spans="1:24" x14ac:dyDescent="0.35">
      <c r="A12" s="2" t="s">
        <v>34</v>
      </c>
      <c r="B12" s="2" t="s">
        <v>34</v>
      </c>
      <c r="C12" s="2" t="s">
        <v>86</v>
      </c>
      <c r="D12" s="2" t="s">
        <v>87</v>
      </c>
      <c r="E12" s="3">
        <v>16777216</v>
      </c>
      <c r="F12" s="2">
        <v>11</v>
      </c>
      <c r="G12" s="2">
        <v>1</v>
      </c>
      <c r="H12" s="3">
        <v>2048</v>
      </c>
      <c r="I12" s="3">
        <v>8192</v>
      </c>
      <c r="J12" s="2">
        <v>256</v>
      </c>
      <c r="K12" s="3">
        <v>131072</v>
      </c>
      <c r="L12" s="2">
        <v>16</v>
      </c>
      <c r="M12" s="2">
        <v>421.12040000000002</v>
      </c>
      <c r="N12" s="2">
        <v>403.29849999999999</v>
      </c>
      <c r="O12" s="2">
        <v>0.9577</v>
      </c>
      <c r="P12" s="2">
        <v>79.680000000000007</v>
      </c>
      <c r="Q12" s="2">
        <v>79.680000000000007</v>
      </c>
      <c r="R12" s="2">
        <v>79.680000000000007</v>
      </c>
      <c r="S12" s="2">
        <v>1</v>
      </c>
      <c r="T12" s="2">
        <v>1</v>
      </c>
      <c r="W12" s="2">
        <v>0.91400000000000003</v>
      </c>
      <c r="X12" s="2" t="s">
        <v>195</v>
      </c>
    </row>
    <row r="13" spans="1:24" x14ac:dyDescent="0.35">
      <c r="A13" s="2" t="s">
        <v>34</v>
      </c>
      <c r="B13" s="2" t="s">
        <v>34</v>
      </c>
      <c r="C13" s="2" t="s">
        <v>88</v>
      </c>
      <c r="F13" s="2">
        <v>12</v>
      </c>
      <c r="G13" s="2">
        <v>1</v>
      </c>
      <c r="O13" s="2">
        <v>0.96</v>
      </c>
      <c r="P13" s="2">
        <v>79.87</v>
      </c>
      <c r="S13" s="2">
        <v>1</v>
      </c>
      <c r="T13" s="2">
        <v>1</v>
      </c>
      <c r="X13" s="2" t="s">
        <v>195</v>
      </c>
    </row>
    <row r="14" spans="1:24" x14ac:dyDescent="0.35">
      <c r="A14" s="2" t="s">
        <v>37</v>
      </c>
      <c r="B14" s="2" t="s">
        <v>38</v>
      </c>
      <c r="C14" s="2" t="s">
        <v>66</v>
      </c>
      <c r="D14" s="2" t="s">
        <v>67</v>
      </c>
      <c r="E14" s="3">
        <v>262144</v>
      </c>
      <c r="F14" s="2">
        <v>1</v>
      </c>
      <c r="G14" s="2">
        <v>2</v>
      </c>
      <c r="H14" s="2">
        <v>512</v>
      </c>
      <c r="I14" s="2">
        <v>512</v>
      </c>
      <c r="J14" s="2">
        <v>16</v>
      </c>
      <c r="K14" s="3">
        <v>1024</v>
      </c>
      <c r="L14" s="3">
        <v>2048</v>
      </c>
      <c r="M14" s="2">
        <v>3.2625000000000002</v>
      </c>
      <c r="N14" s="2">
        <v>3.1507999999999998</v>
      </c>
      <c r="O14" s="2">
        <v>0.96579999999999999</v>
      </c>
      <c r="P14" s="2">
        <v>160.69999999999999</v>
      </c>
      <c r="Q14" s="2">
        <v>80.349999999999994</v>
      </c>
      <c r="R14" s="2">
        <v>110.48</v>
      </c>
      <c r="S14" s="2">
        <v>2.0148000000000001</v>
      </c>
      <c r="T14" s="2">
        <v>0.49630000000000002</v>
      </c>
      <c r="U14" s="2">
        <v>2</v>
      </c>
      <c r="V14" s="2">
        <v>100.74</v>
      </c>
      <c r="W14" s="2">
        <v>1.6879999999999999</v>
      </c>
      <c r="X14" s="2" t="s">
        <v>195</v>
      </c>
    </row>
    <row r="15" spans="1:24" x14ac:dyDescent="0.35">
      <c r="A15" s="2" t="s">
        <v>37</v>
      </c>
      <c r="B15" s="2" t="s">
        <v>38</v>
      </c>
      <c r="C15" s="2" t="s">
        <v>68</v>
      </c>
      <c r="D15" s="2" t="s">
        <v>69</v>
      </c>
      <c r="E15" s="3">
        <v>589824</v>
      </c>
      <c r="F15" s="2">
        <v>2</v>
      </c>
      <c r="G15" s="2">
        <v>2</v>
      </c>
      <c r="H15" s="2">
        <v>768</v>
      </c>
      <c r="I15" s="2">
        <v>768</v>
      </c>
      <c r="J15" s="2">
        <v>24</v>
      </c>
      <c r="K15" s="3">
        <v>2304</v>
      </c>
      <c r="L15" s="2">
        <v>911</v>
      </c>
      <c r="M15" s="2">
        <v>7.3384999999999998</v>
      </c>
      <c r="N15" s="2">
        <v>7.0891999999999999</v>
      </c>
      <c r="O15" s="2">
        <v>0.96599999999999997</v>
      </c>
      <c r="P15" s="2">
        <v>160.75</v>
      </c>
      <c r="Q15" s="2">
        <v>80.37</v>
      </c>
      <c r="R15" s="2">
        <v>110.51</v>
      </c>
      <c r="S15" s="2">
        <v>2.0133000000000001</v>
      </c>
      <c r="T15" s="2">
        <v>0.49669999999999997</v>
      </c>
      <c r="U15" s="2">
        <v>2</v>
      </c>
      <c r="V15" s="2">
        <v>100.66</v>
      </c>
      <c r="W15" s="2">
        <v>0.62</v>
      </c>
      <c r="X15" s="2" t="s">
        <v>195</v>
      </c>
    </row>
    <row r="16" spans="1:24" x14ac:dyDescent="0.35">
      <c r="A16" s="2" t="s">
        <v>37</v>
      </c>
      <c r="B16" s="2" t="s">
        <v>38</v>
      </c>
      <c r="C16" s="2" t="s">
        <v>70</v>
      </c>
      <c r="D16" s="2" t="s">
        <v>71</v>
      </c>
      <c r="E16" s="3">
        <v>1048576</v>
      </c>
      <c r="F16" s="2">
        <v>3</v>
      </c>
      <c r="G16" s="2">
        <v>2</v>
      </c>
      <c r="H16" s="3">
        <v>1024</v>
      </c>
      <c r="I16" s="3">
        <v>1024</v>
      </c>
      <c r="J16" s="2">
        <v>32</v>
      </c>
      <c r="K16" s="3">
        <v>4096</v>
      </c>
      <c r="L16" s="2">
        <v>512</v>
      </c>
      <c r="M16" s="2">
        <v>13.095000000000001</v>
      </c>
      <c r="N16" s="2">
        <v>12.6031</v>
      </c>
      <c r="O16" s="2">
        <v>0.96240000000000003</v>
      </c>
      <c r="P16" s="2">
        <v>160.15</v>
      </c>
      <c r="Q16" s="2">
        <v>80.069999999999993</v>
      </c>
      <c r="R16" s="2">
        <v>110.1</v>
      </c>
      <c r="S16" s="2">
        <v>1.9973000000000001</v>
      </c>
      <c r="T16" s="2">
        <v>0.50070000000000003</v>
      </c>
      <c r="U16" s="2">
        <v>2</v>
      </c>
      <c r="V16" s="2">
        <v>99.87</v>
      </c>
      <c r="W16" s="2">
        <v>1.585</v>
      </c>
      <c r="X16" s="2" t="s">
        <v>195</v>
      </c>
    </row>
    <row r="17" spans="1:24" x14ac:dyDescent="0.35">
      <c r="A17" s="2" t="s">
        <v>37</v>
      </c>
      <c r="B17" s="2" t="s">
        <v>38</v>
      </c>
      <c r="C17" s="2" t="s">
        <v>72</v>
      </c>
      <c r="D17" s="2" t="s">
        <v>73</v>
      </c>
      <c r="E17" s="3">
        <v>2359296</v>
      </c>
      <c r="F17" s="2">
        <v>4</v>
      </c>
      <c r="G17" s="2">
        <v>2</v>
      </c>
      <c r="H17" s="3">
        <v>3072</v>
      </c>
      <c r="I17" s="2">
        <v>768</v>
      </c>
      <c r="J17" s="2">
        <v>24</v>
      </c>
      <c r="K17" s="3">
        <v>9216</v>
      </c>
      <c r="L17" s="2">
        <v>228</v>
      </c>
      <c r="M17" s="2">
        <v>29.4236</v>
      </c>
      <c r="N17" s="2">
        <v>28.3569</v>
      </c>
      <c r="O17" s="2">
        <v>0.9637</v>
      </c>
      <c r="P17" s="2">
        <v>160.37</v>
      </c>
      <c r="Q17" s="2">
        <v>80.180000000000007</v>
      </c>
      <c r="R17" s="2">
        <v>110.25</v>
      </c>
      <c r="S17" s="2">
        <v>2.0106999999999999</v>
      </c>
      <c r="T17" s="2">
        <v>0.49730000000000002</v>
      </c>
      <c r="U17" s="2">
        <v>2</v>
      </c>
      <c r="V17" s="2">
        <v>100.53</v>
      </c>
      <c r="W17" s="2">
        <v>0.59299999999999997</v>
      </c>
      <c r="X17" s="2" t="s">
        <v>195</v>
      </c>
    </row>
    <row r="18" spans="1:24" x14ac:dyDescent="0.35">
      <c r="A18" s="2" t="s">
        <v>37</v>
      </c>
      <c r="B18" s="2" t="s">
        <v>38</v>
      </c>
      <c r="C18" s="2" t="s">
        <v>74</v>
      </c>
      <c r="D18" s="2" t="s">
        <v>75</v>
      </c>
      <c r="E18" s="3">
        <v>2359296</v>
      </c>
      <c r="F18" s="2">
        <v>5</v>
      </c>
      <c r="G18" s="2">
        <v>2</v>
      </c>
      <c r="H18" s="2">
        <v>768</v>
      </c>
      <c r="I18" s="3">
        <v>3072</v>
      </c>
      <c r="J18" s="2">
        <v>96</v>
      </c>
      <c r="K18" s="3">
        <v>9216</v>
      </c>
      <c r="L18" s="2">
        <v>228</v>
      </c>
      <c r="M18" s="2">
        <v>29.0261</v>
      </c>
      <c r="N18" s="2">
        <v>28.3569</v>
      </c>
      <c r="O18" s="2">
        <v>0.97689999999999999</v>
      </c>
      <c r="P18" s="2">
        <v>162.56</v>
      </c>
      <c r="Q18" s="2">
        <v>81.28</v>
      </c>
      <c r="R18" s="2">
        <v>111.76</v>
      </c>
      <c r="S18" s="2">
        <v>2.0411999999999999</v>
      </c>
      <c r="T18" s="2">
        <v>0.4899</v>
      </c>
      <c r="U18" s="2">
        <v>2</v>
      </c>
      <c r="V18" s="2">
        <v>102.06</v>
      </c>
      <c r="W18" s="2">
        <v>0.76300000000000001</v>
      </c>
      <c r="X18" s="2" t="s">
        <v>195</v>
      </c>
    </row>
    <row r="19" spans="1:24" x14ac:dyDescent="0.35">
      <c r="A19" s="2" t="s">
        <v>37</v>
      </c>
      <c r="B19" s="2" t="s">
        <v>38</v>
      </c>
      <c r="C19" s="2" t="s">
        <v>76</v>
      </c>
      <c r="D19" s="2" t="s">
        <v>77</v>
      </c>
      <c r="E19" s="3">
        <v>4194304</v>
      </c>
      <c r="F19" s="2">
        <v>6</v>
      </c>
      <c r="G19" s="2">
        <v>2</v>
      </c>
      <c r="H19" s="3">
        <v>4096</v>
      </c>
      <c r="I19" s="3">
        <v>1024</v>
      </c>
      <c r="J19" s="2">
        <v>32</v>
      </c>
      <c r="K19" s="3">
        <v>16384</v>
      </c>
      <c r="L19" s="2">
        <v>128</v>
      </c>
      <c r="M19" s="2">
        <v>52.066499999999998</v>
      </c>
      <c r="N19" s="2">
        <v>50.412300000000002</v>
      </c>
      <c r="O19" s="2">
        <v>0.96819999999999995</v>
      </c>
      <c r="P19" s="2">
        <v>161.11000000000001</v>
      </c>
      <c r="Q19" s="2">
        <v>80.56</v>
      </c>
      <c r="R19" s="2">
        <v>110.77</v>
      </c>
      <c r="S19" s="2">
        <v>2.0179</v>
      </c>
      <c r="T19" s="2">
        <v>0.49559999999999998</v>
      </c>
      <c r="U19" s="2">
        <v>2</v>
      </c>
      <c r="V19" s="2">
        <v>100.9</v>
      </c>
      <c r="W19" s="2">
        <v>1.9890000000000001</v>
      </c>
      <c r="X19" s="2" t="s">
        <v>195</v>
      </c>
    </row>
    <row r="20" spans="1:24" x14ac:dyDescent="0.35">
      <c r="A20" s="2" t="s">
        <v>37</v>
      </c>
      <c r="B20" s="2" t="s">
        <v>38</v>
      </c>
      <c r="C20" s="2" t="s">
        <v>78</v>
      </c>
      <c r="D20" s="2" t="s">
        <v>79</v>
      </c>
      <c r="E20" s="3">
        <v>4194304</v>
      </c>
      <c r="F20" s="2">
        <v>7</v>
      </c>
      <c r="G20" s="2">
        <v>2</v>
      </c>
      <c r="H20" s="3">
        <v>1024</v>
      </c>
      <c r="I20" s="3">
        <v>4096</v>
      </c>
      <c r="J20" s="2">
        <v>128</v>
      </c>
      <c r="K20" s="3">
        <v>16384</v>
      </c>
      <c r="L20" s="2">
        <v>128</v>
      </c>
      <c r="M20" s="2">
        <v>52.087800000000001</v>
      </c>
      <c r="N20" s="2">
        <v>50.412300000000002</v>
      </c>
      <c r="O20" s="2">
        <v>0.96779999999999999</v>
      </c>
      <c r="P20" s="2">
        <v>161.05000000000001</v>
      </c>
      <c r="Q20" s="2">
        <v>80.52</v>
      </c>
      <c r="R20" s="2">
        <v>110.72</v>
      </c>
      <c r="S20" s="2">
        <v>2.0192999999999999</v>
      </c>
      <c r="T20" s="2">
        <v>0.49519999999999997</v>
      </c>
      <c r="U20" s="2">
        <v>2</v>
      </c>
      <c r="V20" s="2">
        <v>100.96</v>
      </c>
      <c r="W20" s="2">
        <v>1.179</v>
      </c>
      <c r="X20" s="2" t="s">
        <v>195</v>
      </c>
    </row>
    <row r="21" spans="1:24" x14ac:dyDescent="0.35">
      <c r="A21" s="2" t="s">
        <v>37</v>
      </c>
      <c r="B21" s="2" t="s">
        <v>38</v>
      </c>
      <c r="C21" s="2" t="s">
        <v>80</v>
      </c>
      <c r="D21" s="2" t="s">
        <v>81</v>
      </c>
      <c r="E21" s="3">
        <v>4194304</v>
      </c>
      <c r="F21" s="2">
        <v>8</v>
      </c>
      <c r="G21" s="2">
        <v>2</v>
      </c>
      <c r="H21" s="3">
        <v>2048</v>
      </c>
      <c r="I21" s="3">
        <v>2048</v>
      </c>
      <c r="J21" s="2">
        <v>64</v>
      </c>
      <c r="K21" s="3">
        <v>16384</v>
      </c>
      <c r="L21" s="2">
        <v>128</v>
      </c>
      <c r="M21" s="2">
        <v>51.990099999999998</v>
      </c>
      <c r="N21" s="2">
        <v>50.412300000000002</v>
      </c>
      <c r="O21" s="2">
        <v>0.96970000000000001</v>
      </c>
      <c r="P21" s="2">
        <v>161.35</v>
      </c>
      <c r="Q21" s="2">
        <v>80.680000000000007</v>
      </c>
      <c r="R21" s="2">
        <v>110.93</v>
      </c>
      <c r="S21" s="2">
        <v>2.0230999999999999</v>
      </c>
      <c r="T21" s="2">
        <v>0.49430000000000002</v>
      </c>
      <c r="U21" s="2">
        <v>2</v>
      </c>
      <c r="V21" s="2">
        <v>101.15</v>
      </c>
      <c r="W21" s="2">
        <v>0.66200000000000003</v>
      </c>
      <c r="X21" s="2" t="s">
        <v>195</v>
      </c>
    </row>
    <row r="22" spans="1:24" x14ac:dyDescent="0.35">
      <c r="A22" s="2" t="s">
        <v>37</v>
      </c>
      <c r="B22" s="2" t="s">
        <v>38</v>
      </c>
      <c r="C22" s="2" t="s">
        <v>82</v>
      </c>
      <c r="D22" s="2" t="s">
        <v>83</v>
      </c>
      <c r="E22" s="3">
        <v>16777216</v>
      </c>
      <c r="F22" s="2">
        <v>9</v>
      </c>
      <c r="G22" s="2">
        <v>2</v>
      </c>
      <c r="H22" s="3">
        <v>4096</v>
      </c>
      <c r="I22" s="3">
        <v>4096</v>
      </c>
      <c r="J22" s="2">
        <v>128</v>
      </c>
      <c r="K22" s="3">
        <v>65536</v>
      </c>
      <c r="L22" s="2">
        <v>32</v>
      </c>
      <c r="M22" s="2">
        <v>206.42840000000001</v>
      </c>
      <c r="N22" s="2">
        <v>201.64920000000001</v>
      </c>
      <c r="O22" s="2">
        <v>0.9768</v>
      </c>
      <c r="P22" s="2">
        <v>162.55000000000001</v>
      </c>
      <c r="Q22" s="2">
        <v>81.27</v>
      </c>
      <c r="R22" s="2">
        <v>111.75</v>
      </c>
      <c r="S22" s="2">
        <v>2.0219</v>
      </c>
      <c r="T22" s="2">
        <v>0.49459999999999998</v>
      </c>
      <c r="U22" s="2">
        <v>2</v>
      </c>
      <c r="V22" s="2">
        <v>101.09</v>
      </c>
      <c r="W22" s="2">
        <v>1.897</v>
      </c>
      <c r="X22" s="2" t="s">
        <v>195</v>
      </c>
    </row>
    <row r="23" spans="1:24" x14ac:dyDescent="0.35">
      <c r="A23" s="2" t="s">
        <v>37</v>
      </c>
      <c r="B23" s="2" t="s">
        <v>38</v>
      </c>
      <c r="C23" s="2" t="s">
        <v>84</v>
      </c>
      <c r="D23" s="2" t="s">
        <v>85</v>
      </c>
      <c r="E23" s="3">
        <v>16777216</v>
      </c>
      <c r="F23" s="2">
        <v>10</v>
      </c>
      <c r="G23" s="2">
        <v>2</v>
      </c>
      <c r="H23" s="3">
        <v>8192</v>
      </c>
      <c r="I23" s="3">
        <v>2048</v>
      </c>
      <c r="J23" s="2">
        <v>64</v>
      </c>
      <c r="K23" s="3">
        <v>65536</v>
      </c>
      <c r="L23" s="2">
        <v>32</v>
      </c>
      <c r="M23" s="2">
        <v>208.13050000000001</v>
      </c>
      <c r="N23" s="2">
        <v>201.64920000000001</v>
      </c>
      <c r="O23" s="2">
        <v>0.96889999999999998</v>
      </c>
      <c r="P23" s="2">
        <v>161.22</v>
      </c>
      <c r="Q23" s="2">
        <v>80.61</v>
      </c>
      <c r="R23" s="2">
        <v>110.84</v>
      </c>
      <c r="S23" s="2">
        <v>2.0150999999999999</v>
      </c>
      <c r="T23" s="2">
        <v>0.49630000000000002</v>
      </c>
      <c r="U23" s="2">
        <v>2</v>
      </c>
      <c r="V23" s="2">
        <v>100.75</v>
      </c>
      <c r="W23" s="2">
        <v>0.69099999999999995</v>
      </c>
      <c r="X23" s="2" t="s">
        <v>195</v>
      </c>
    </row>
    <row r="24" spans="1:24" x14ac:dyDescent="0.35">
      <c r="A24" s="2" t="s">
        <v>37</v>
      </c>
      <c r="B24" s="2" t="s">
        <v>38</v>
      </c>
      <c r="C24" s="2" t="s">
        <v>86</v>
      </c>
      <c r="D24" s="2" t="s">
        <v>87</v>
      </c>
      <c r="E24" s="3">
        <v>16777216</v>
      </c>
      <c r="F24" s="2">
        <v>11</v>
      </c>
      <c r="G24" s="2">
        <v>2</v>
      </c>
      <c r="H24" s="3">
        <v>2048</v>
      </c>
      <c r="I24" s="3">
        <v>8192</v>
      </c>
      <c r="J24" s="2">
        <v>256</v>
      </c>
      <c r="K24" s="3">
        <v>65536</v>
      </c>
      <c r="L24" s="2">
        <v>32</v>
      </c>
      <c r="M24" s="2">
        <v>207.0247</v>
      </c>
      <c r="N24" s="2">
        <v>201.64920000000001</v>
      </c>
      <c r="O24" s="2">
        <v>0.97399999999999998</v>
      </c>
      <c r="P24" s="2">
        <v>162.08000000000001</v>
      </c>
      <c r="Q24" s="2">
        <v>81.040000000000006</v>
      </c>
      <c r="R24" s="2">
        <v>111.43</v>
      </c>
      <c r="S24" s="2">
        <v>2.0341999999999998</v>
      </c>
      <c r="T24" s="2">
        <v>0.49159999999999998</v>
      </c>
      <c r="U24" s="2">
        <v>2</v>
      </c>
      <c r="V24" s="2">
        <v>101.71</v>
      </c>
      <c r="W24" s="2">
        <v>0.75700000000000001</v>
      </c>
      <c r="X24" s="2" t="s">
        <v>195</v>
      </c>
    </row>
    <row r="25" spans="1:24" x14ac:dyDescent="0.35">
      <c r="A25" s="2" t="s">
        <v>37</v>
      </c>
      <c r="B25" s="2" t="s">
        <v>38</v>
      </c>
      <c r="C25" s="2" t="s">
        <v>88</v>
      </c>
      <c r="F25" s="2">
        <v>12</v>
      </c>
      <c r="G25" s="2">
        <v>2</v>
      </c>
      <c r="O25" s="2">
        <v>0.96909999999999996</v>
      </c>
      <c r="P25" s="2">
        <v>161.26</v>
      </c>
      <c r="S25" s="2">
        <v>2.0188999999999999</v>
      </c>
      <c r="T25" s="2">
        <v>0.49530000000000002</v>
      </c>
      <c r="U25" s="2">
        <v>2</v>
      </c>
      <c r="V25" s="2">
        <v>100.95</v>
      </c>
      <c r="X25" s="2" t="s">
        <v>195</v>
      </c>
    </row>
    <row r="26" spans="1:24" x14ac:dyDescent="0.35">
      <c r="A26" s="2" t="s">
        <v>37</v>
      </c>
      <c r="B26" s="2" t="s">
        <v>40</v>
      </c>
      <c r="C26" s="2" t="s">
        <v>66</v>
      </c>
      <c r="D26" s="2" t="s">
        <v>67</v>
      </c>
      <c r="E26" s="3">
        <v>262144</v>
      </c>
      <c r="F26" s="2">
        <v>1</v>
      </c>
      <c r="G26" s="2">
        <v>3</v>
      </c>
      <c r="H26" s="2">
        <v>512</v>
      </c>
      <c r="I26" s="2">
        <v>512</v>
      </c>
      <c r="J26" s="2">
        <v>16</v>
      </c>
      <c r="K26" s="2">
        <v>512</v>
      </c>
      <c r="L26" s="3">
        <v>4096</v>
      </c>
      <c r="M26" s="2">
        <v>1.6567000000000001</v>
      </c>
      <c r="N26" s="2">
        <v>1.5753999999999999</v>
      </c>
      <c r="O26" s="2">
        <v>0.95089999999999997</v>
      </c>
      <c r="P26" s="2">
        <v>316.47000000000003</v>
      </c>
      <c r="Q26" s="2">
        <v>79.12</v>
      </c>
      <c r="R26" s="2">
        <v>108.79</v>
      </c>
      <c r="S26" s="2">
        <v>3.9678</v>
      </c>
      <c r="T26" s="2">
        <v>0.252</v>
      </c>
      <c r="U26" s="2">
        <v>4</v>
      </c>
      <c r="V26" s="2">
        <v>99.19</v>
      </c>
      <c r="W26" s="2">
        <v>1.256</v>
      </c>
      <c r="X26" s="2" t="s">
        <v>195</v>
      </c>
    </row>
    <row r="27" spans="1:24" x14ac:dyDescent="0.35">
      <c r="A27" s="2" t="s">
        <v>37</v>
      </c>
      <c r="B27" s="2" t="s">
        <v>40</v>
      </c>
      <c r="C27" s="2" t="s">
        <v>68</v>
      </c>
      <c r="D27" s="2" t="s">
        <v>69</v>
      </c>
      <c r="E27" s="3">
        <v>589824</v>
      </c>
      <c r="F27" s="2">
        <v>2</v>
      </c>
      <c r="G27" s="2">
        <v>3</v>
      </c>
      <c r="H27" s="2">
        <v>768</v>
      </c>
      <c r="I27" s="2">
        <v>768</v>
      </c>
      <c r="J27" s="2">
        <v>24</v>
      </c>
      <c r="K27" s="3">
        <v>1152</v>
      </c>
      <c r="L27" s="3">
        <v>1821</v>
      </c>
      <c r="M27" s="2">
        <v>3.6625999999999999</v>
      </c>
      <c r="N27" s="2">
        <v>3.5446</v>
      </c>
      <c r="O27" s="2">
        <v>0.96779999999999999</v>
      </c>
      <c r="P27" s="2">
        <v>322.08</v>
      </c>
      <c r="Q27" s="2">
        <v>80.52</v>
      </c>
      <c r="R27" s="2">
        <v>110.72</v>
      </c>
      <c r="S27" s="2">
        <v>4.0339</v>
      </c>
      <c r="T27" s="2">
        <v>0.24790000000000001</v>
      </c>
      <c r="U27" s="2">
        <v>4</v>
      </c>
      <c r="V27" s="2">
        <v>100.85</v>
      </c>
      <c r="W27" s="2">
        <v>5.0279999999999996</v>
      </c>
      <c r="X27" s="2" t="s">
        <v>195</v>
      </c>
    </row>
    <row r="28" spans="1:24" x14ac:dyDescent="0.35">
      <c r="A28" s="2" t="s">
        <v>37</v>
      </c>
      <c r="B28" s="2" t="s">
        <v>40</v>
      </c>
      <c r="C28" s="2" t="s">
        <v>70</v>
      </c>
      <c r="D28" s="2" t="s">
        <v>71</v>
      </c>
      <c r="E28" s="3">
        <v>1048576</v>
      </c>
      <c r="F28" s="2">
        <v>3</v>
      </c>
      <c r="G28" s="2">
        <v>3</v>
      </c>
      <c r="H28" s="3">
        <v>1024</v>
      </c>
      <c r="I28" s="3">
        <v>1024</v>
      </c>
      <c r="J28" s="2">
        <v>32</v>
      </c>
      <c r="K28" s="3">
        <v>2048</v>
      </c>
      <c r="L28" s="3">
        <v>1024</v>
      </c>
      <c r="M28" s="2">
        <v>6.5098000000000003</v>
      </c>
      <c r="N28" s="2">
        <v>6.3014999999999999</v>
      </c>
      <c r="O28" s="2">
        <v>0.96799999999999997</v>
      </c>
      <c r="P28" s="2">
        <v>322.14999999999998</v>
      </c>
      <c r="Q28" s="2">
        <v>80.540000000000006</v>
      </c>
      <c r="R28" s="2">
        <v>110.74</v>
      </c>
      <c r="S28" s="2">
        <v>4.0178000000000003</v>
      </c>
      <c r="T28" s="2">
        <v>0.24890000000000001</v>
      </c>
      <c r="U28" s="2">
        <v>4</v>
      </c>
      <c r="V28" s="2">
        <v>100.44</v>
      </c>
      <c r="W28" s="2">
        <v>3.548</v>
      </c>
      <c r="X28" s="2" t="s">
        <v>195</v>
      </c>
    </row>
    <row r="29" spans="1:24" x14ac:dyDescent="0.35">
      <c r="A29" s="2" t="s">
        <v>37</v>
      </c>
      <c r="B29" s="2" t="s">
        <v>40</v>
      </c>
      <c r="C29" s="2" t="s">
        <v>72</v>
      </c>
      <c r="D29" s="2" t="s">
        <v>73</v>
      </c>
      <c r="E29" s="3">
        <v>2359296</v>
      </c>
      <c r="F29" s="2">
        <v>4</v>
      </c>
      <c r="G29" s="2">
        <v>3</v>
      </c>
      <c r="H29" s="3">
        <v>3072</v>
      </c>
      <c r="I29" s="2">
        <v>768</v>
      </c>
      <c r="J29" s="2">
        <v>24</v>
      </c>
      <c r="K29" s="3">
        <v>4608</v>
      </c>
      <c r="L29" s="2">
        <v>456</v>
      </c>
      <c r="M29" s="2">
        <v>14.759</v>
      </c>
      <c r="N29" s="2">
        <v>14.1785</v>
      </c>
      <c r="O29" s="2">
        <v>0.9607</v>
      </c>
      <c r="P29" s="2">
        <v>319.70999999999998</v>
      </c>
      <c r="Q29" s="2">
        <v>79.930000000000007</v>
      </c>
      <c r="R29" s="2">
        <v>109.9</v>
      </c>
      <c r="S29" s="2">
        <v>4.0084999999999997</v>
      </c>
      <c r="T29" s="2">
        <v>0.2495</v>
      </c>
      <c r="U29" s="2">
        <v>4</v>
      </c>
      <c r="V29" s="2">
        <v>100.21</v>
      </c>
      <c r="W29" s="2">
        <v>0.33500000000000002</v>
      </c>
      <c r="X29" s="2" t="s">
        <v>195</v>
      </c>
    </row>
    <row r="30" spans="1:24" x14ac:dyDescent="0.35">
      <c r="A30" s="2" t="s">
        <v>37</v>
      </c>
      <c r="B30" s="2" t="s">
        <v>40</v>
      </c>
      <c r="C30" s="2" t="s">
        <v>74</v>
      </c>
      <c r="D30" s="2" t="s">
        <v>75</v>
      </c>
      <c r="E30" s="3">
        <v>2359296</v>
      </c>
      <c r="F30" s="2">
        <v>5</v>
      </c>
      <c r="G30" s="2">
        <v>3</v>
      </c>
      <c r="H30" s="2">
        <v>768</v>
      </c>
      <c r="I30" s="3">
        <v>3072</v>
      </c>
      <c r="J30" s="2">
        <v>96</v>
      </c>
      <c r="K30" s="3">
        <v>4608</v>
      </c>
      <c r="L30" s="2">
        <v>456</v>
      </c>
      <c r="M30" s="2">
        <v>14.7753</v>
      </c>
      <c r="N30" s="2">
        <v>14.1785</v>
      </c>
      <c r="O30" s="2">
        <v>0.95960000000000001</v>
      </c>
      <c r="P30" s="2">
        <v>319.36</v>
      </c>
      <c r="Q30" s="2">
        <v>79.84</v>
      </c>
      <c r="R30" s="2">
        <v>109.78</v>
      </c>
      <c r="S30" s="2">
        <v>4.0099</v>
      </c>
      <c r="T30" s="2">
        <v>0.24940000000000001</v>
      </c>
      <c r="U30" s="2">
        <v>4</v>
      </c>
      <c r="V30" s="2">
        <v>100.25</v>
      </c>
      <c r="W30" s="2">
        <v>0.60799999999999998</v>
      </c>
      <c r="X30" s="2" t="s">
        <v>195</v>
      </c>
    </row>
    <row r="31" spans="1:24" x14ac:dyDescent="0.35">
      <c r="A31" s="2" t="s">
        <v>37</v>
      </c>
      <c r="B31" s="2" t="s">
        <v>40</v>
      </c>
      <c r="C31" s="2" t="s">
        <v>76</v>
      </c>
      <c r="D31" s="2" t="s">
        <v>77</v>
      </c>
      <c r="E31" s="3">
        <v>4194304</v>
      </c>
      <c r="F31" s="2">
        <v>6</v>
      </c>
      <c r="G31" s="2">
        <v>3</v>
      </c>
      <c r="H31" s="3">
        <v>4096</v>
      </c>
      <c r="I31" s="3">
        <v>1024</v>
      </c>
      <c r="J31" s="2">
        <v>32</v>
      </c>
      <c r="K31" s="3">
        <v>8192</v>
      </c>
      <c r="L31" s="2">
        <v>256</v>
      </c>
      <c r="M31" s="2">
        <v>26.375299999999999</v>
      </c>
      <c r="N31" s="2">
        <v>25.206199999999999</v>
      </c>
      <c r="O31" s="2">
        <v>0.95569999999999999</v>
      </c>
      <c r="P31" s="2">
        <v>318.05</v>
      </c>
      <c r="Q31" s="2">
        <v>79.510000000000005</v>
      </c>
      <c r="R31" s="2">
        <v>109.33</v>
      </c>
      <c r="S31" s="2">
        <v>3.9834999999999998</v>
      </c>
      <c r="T31" s="2">
        <v>0.251</v>
      </c>
      <c r="U31" s="2">
        <v>4</v>
      </c>
      <c r="V31" s="2">
        <v>99.59</v>
      </c>
      <c r="W31" s="2">
        <v>0.39700000000000002</v>
      </c>
      <c r="X31" s="2" t="s">
        <v>195</v>
      </c>
    </row>
    <row r="32" spans="1:24" x14ac:dyDescent="0.35">
      <c r="A32" s="2" t="s">
        <v>37</v>
      </c>
      <c r="B32" s="2" t="s">
        <v>40</v>
      </c>
      <c r="C32" s="2" t="s">
        <v>78</v>
      </c>
      <c r="D32" s="2" t="s">
        <v>79</v>
      </c>
      <c r="E32" s="3">
        <v>4194304</v>
      </c>
      <c r="F32" s="2">
        <v>7</v>
      </c>
      <c r="G32" s="2">
        <v>3</v>
      </c>
      <c r="H32" s="3">
        <v>1024</v>
      </c>
      <c r="I32" s="3">
        <v>4096</v>
      </c>
      <c r="J32" s="2">
        <v>128</v>
      </c>
      <c r="K32" s="3">
        <v>8192</v>
      </c>
      <c r="L32" s="2">
        <v>256</v>
      </c>
      <c r="M32" s="2">
        <v>26.171299999999999</v>
      </c>
      <c r="N32" s="2">
        <v>25.206199999999999</v>
      </c>
      <c r="O32" s="2">
        <v>0.96309999999999996</v>
      </c>
      <c r="P32" s="2">
        <v>320.52999999999997</v>
      </c>
      <c r="Q32" s="2">
        <v>80.13</v>
      </c>
      <c r="R32" s="2">
        <v>110.18</v>
      </c>
      <c r="S32" s="2">
        <v>4.0187999999999997</v>
      </c>
      <c r="T32" s="2">
        <v>0.24879999999999999</v>
      </c>
      <c r="U32" s="2">
        <v>4</v>
      </c>
      <c r="V32" s="2">
        <v>100.47</v>
      </c>
      <c r="W32" s="2">
        <v>1.337</v>
      </c>
      <c r="X32" s="2" t="s">
        <v>195</v>
      </c>
    </row>
    <row r="33" spans="1:24" x14ac:dyDescent="0.35">
      <c r="A33" s="2" t="s">
        <v>37</v>
      </c>
      <c r="B33" s="2" t="s">
        <v>40</v>
      </c>
      <c r="C33" s="2" t="s">
        <v>80</v>
      </c>
      <c r="D33" s="2" t="s">
        <v>81</v>
      </c>
      <c r="E33" s="3">
        <v>4194304</v>
      </c>
      <c r="F33" s="2">
        <v>8</v>
      </c>
      <c r="G33" s="2">
        <v>3</v>
      </c>
      <c r="H33" s="3">
        <v>2048</v>
      </c>
      <c r="I33" s="3">
        <v>2048</v>
      </c>
      <c r="J33" s="2">
        <v>64</v>
      </c>
      <c r="K33" s="3">
        <v>8192</v>
      </c>
      <c r="L33" s="2">
        <v>256</v>
      </c>
      <c r="M33" s="2">
        <v>26.1236</v>
      </c>
      <c r="N33" s="2">
        <v>25.206199999999999</v>
      </c>
      <c r="O33" s="2">
        <v>0.96489999999999998</v>
      </c>
      <c r="P33" s="2">
        <v>321.11</v>
      </c>
      <c r="Q33" s="2">
        <v>80.28</v>
      </c>
      <c r="R33" s="2">
        <v>110.38</v>
      </c>
      <c r="S33" s="2">
        <v>4.0263</v>
      </c>
      <c r="T33" s="2">
        <v>0.24840000000000001</v>
      </c>
      <c r="U33" s="2">
        <v>4</v>
      </c>
      <c r="V33" s="2">
        <v>100.66</v>
      </c>
      <c r="W33" s="2">
        <v>1.407</v>
      </c>
      <c r="X33" s="2" t="s">
        <v>195</v>
      </c>
    </row>
    <row r="34" spans="1:24" x14ac:dyDescent="0.35">
      <c r="A34" s="2" t="s">
        <v>37</v>
      </c>
      <c r="B34" s="2" t="s">
        <v>40</v>
      </c>
      <c r="C34" s="2" t="s">
        <v>82</v>
      </c>
      <c r="D34" s="2" t="s">
        <v>83</v>
      </c>
      <c r="E34" s="3">
        <v>16777216</v>
      </c>
      <c r="F34" s="2">
        <v>9</v>
      </c>
      <c r="G34" s="2">
        <v>3</v>
      </c>
      <c r="H34" s="3">
        <v>4096</v>
      </c>
      <c r="I34" s="3">
        <v>4096</v>
      </c>
      <c r="J34" s="2">
        <v>128</v>
      </c>
      <c r="K34" s="3">
        <v>32768</v>
      </c>
      <c r="L34" s="2">
        <v>64</v>
      </c>
      <c r="M34" s="2">
        <v>104.90649999999999</v>
      </c>
      <c r="N34" s="2">
        <v>100.8246</v>
      </c>
      <c r="O34" s="2">
        <v>0.96109999999999995</v>
      </c>
      <c r="P34" s="2">
        <v>319.85000000000002</v>
      </c>
      <c r="Q34" s="2">
        <v>79.959999999999994</v>
      </c>
      <c r="R34" s="2">
        <v>109.95</v>
      </c>
      <c r="S34" s="2">
        <v>3.9784999999999999</v>
      </c>
      <c r="T34" s="2">
        <v>0.25140000000000001</v>
      </c>
      <c r="U34" s="2">
        <v>4</v>
      </c>
      <c r="V34" s="2">
        <v>99.46</v>
      </c>
      <c r="W34" s="2">
        <v>1.581</v>
      </c>
      <c r="X34" s="2" t="s">
        <v>195</v>
      </c>
    </row>
    <row r="35" spans="1:24" x14ac:dyDescent="0.35">
      <c r="A35" s="2" t="s">
        <v>37</v>
      </c>
      <c r="B35" s="2" t="s">
        <v>40</v>
      </c>
      <c r="C35" s="2" t="s">
        <v>84</v>
      </c>
      <c r="D35" s="2" t="s">
        <v>85</v>
      </c>
      <c r="E35" s="3">
        <v>16777216</v>
      </c>
      <c r="F35" s="2">
        <v>10</v>
      </c>
      <c r="G35" s="2">
        <v>3</v>
      </c>
      <c r="H35" s="3">
        <v>8192</v>
      </c>
      <c r="I35" s="3">
        <v>2048</v>
      </c>
      <c r="J35" s="2">
        <v>64</v>
      </c>
      <c r="K35" s="3">
        <v>32768</v>
      </c>
      <c r="L35" s="2">
        <v>64</v>
      </c>
      <c r="M35" s="2">
        <v>104.3126</v>
      </c>
      <c r="N35" s="2">
        <v>100.8246</v>
      </c>
      <c r="O35" s="2">
        <v>0.96660000000000001</v>
      </c>
      <c r="P35" s="2">
        <v>321.67</v>
      </c>
      <c r="Q35" s="2">
        <v>80.42</v>
      </c>
      <c r="R35" s="2">
        <v>110.57</v>
      </c>
      <c r="S35" s="2">
        <v>4.0206</v>
      </c>
      <c r="T35" s="2">
        <v>0.2487</v>
      </c>
      <c r="U35" s="2">
        <v>4</v>
      </c>
      <c r="V35" s="2">
        <v>100.51</v>
      </c>
      <c r="W35" s="2">
        <v>2.3740000000000001</v>
      </c>
      <c r="X35" s="2" t="s">
        <v>195</v>
      </c>
    </row>
    <row r="36" spans="1:24" x14ac:dyDescent="0.35">
      <c r="A36" s="2" t="s">
        <v>37</v>
      </c>
      <c r="B36" s="2" t="s">
        <v>40</v>
      </c>
      <c r="C36" s="2" t="s">
        <v>86</v>
      </c>
      <c r="D36" s="2" t="s">
        <v>87</v>
      </c>
      <c r="E36" s="3">
        <v>16777216</v>
      </c>
      <c r="F36" s="2">
        <v>11</v>
      </c>
      <c r="G36" s="2">
        <v>3</v>
      </c>
      <c r="H36" s="3">
        <v>2048</v>
      </c>
      <c r="I36" s="3">
        <v>8192</v>
      </c>
      <c r="J36" s="2">
        <v>256</v>
      </c>
      <c r="K36" s="3">
        <v>32768</v>
      </c>
      <c r="L36" s="2">
        <v>64</v>
      </c>
      <c r="M36" s="2">
        <v>104.9286</v>
      </c>
      <c r="N36" s="2">
        <v>100.8246</v>
      </c>
      <c r="O36" s="2">
        <v>0.96089999999999998</v>
      </c>
      <c r="P36" s="2">
        <v>319.77999999999997</v>
      </c>
      <c r="Q36" s="2">
        <v>79.95</v>
      </c>
      <c r="R36" s="2">
        <v>109.93</v>
      </c>
      <c r="S36" s="2">
        <v>4.0133999999999999</v>
      </c>
      <c r="T36" s="2">
        <v>0.2492</v>
      </c>
      <c r="U36" s="2">
        <v>4</v>
      </c>
      <c r="V36" s="2">
        <v>100.33</v>
      </c>
      <c r="W36" s="2">
        <v>1.2769999999999999</v>
      </c>
      <c r="X36" s="2" t="s">
        <v>195</v>
      </c>
    </row>
    <row r="37" spans="1:24" x14ac:dyDescent="0.35">
      <c r="A37" s="2" t="s">
        <v>37</v>
      </c>
      <c r="B37" s="2" t="s">
        <v>40</v>
      </c>
      <c r="C37" s="2" t="s">
        <v>88</v>
      </c>
      <c r="F37" s="2">
        <v>12</v>
      </c>
      <c r="G37" s="2">
        <v>3</v>
      </c>
      <c r="O37" s="2">
        <v>0.9617</v>
      </c>
      <c r="P37" s="2">
        <v>320.06</v>
      </c>
      <c r="S37" s="2">
        <v>4.0071000000000003</v>
      </c>
      <c r="T37" s="2">
        <v>0.24959999999999999</v>
      </c>
      <c r="U37" s="2">
        <v>4</v>
      </c>
      <c r="V37" s="2">
        <v>100.18</v>
      </c>
      <c r="X37" s="2" t="s">
        <v>195</v>
      </c>
    </row>
    <row r="38" spans="1:24" x14ac:dyDescent="0.35">
      <c r="A38" s="2" t="s">
        <v>37</v>
      </c>
      <c r="B38" s="2" t="s">
        <v>42</v>
      </c>
      <c r="C38" s="2" t="s">
        <v>66</v>
      </c>
      <c r="D38" s="2" t="s">
        <v>67</v>
      </c>
      <c r="E38" s="3">
        <v>262144</v>
      </c>
      <c r="F38" s="2">
        <v>1</v>
      </c>
      <c r="G38" s="2">
        <v>4</v>
      </c>
      <c r="H38" s="2">
        <v>512</v>
      </c>
      <c r="I38" s="2">
        <v>512</v>
      </c>
      <c r="J38" s="2">
        <v>16</v>
      </c>
      <c r="K38" s="2">
        <v>256</v>
      </c>
      <c r="L38" s="3">
        <v>8192</v>
      </c>
      <c r="M38" s="2">
        <v>0.83330000000000004</v>
      </c>
      <c r="N38" s="2">
        <v>0.78769999999999996</v>
      </c>
      <c r="O38" s="2">
        <v>0.94530000000000003</v>
      </c>
      <c r="P38" s="2">
        <v>629.19000000000005</v>
      </c>
      <c r="Q38" s="2">
        <v>78.650000000000006</v>
      </c>
      <c r="R38" s="2">
        <v>108.14</v>
      </c>
      <c r="S38" s="2">
        <v>7.8883999999999999</v>
      </c>
      <c r="T38" s="2">
        <v>0.1268</v>
      </c>
      <c r="U38" s="2">
        <v>8</v>
      </c>
      <c r="V38" s="2">
        <v>98.6</v>
      </c>
      <c r="W38" s="2">
        <v>2.516</v>
      </c>
      <c r="X38" s="2" t="s">
        <v>195</v>
      </c>
    </row>
    <row r="39" spans="1:24" x14ac:dyDescent="0.35">
      <c r="A39" s="2" t="s">
        <v>37</v>
      </c>
      <c r="B39" s="2" t="s">
        <v>42</v>
      </c>
      <c r="C39" s="2" t="s">
        <v>68</v>
      </c>
      <c r="D39" s="2" t="s">
        <v>69</v>
      </c>
      <c r="E39" s="3">
        <v>589824</v>
      </c>
      <c r="F39" s="2">
        <v>2</v>
      </c>
      <c r="G39" s="2">
        <v>4</v>
      </c>
      <c r="H39" s="2">
        <v>768</v>
      </c>
      <c r="I39" s="2">
        <v>768</v>
      </c>
      <c r="J39" s="2">
        <v>24</v>
      </c>
      <c r="K39" s="2">
        <v>576</v>
      </c>
      <c r="L39" s="3">
        <v>3641</v>
      </c>
      <c r="M39" s="2">
        <v>1.871</v>
      </c>
      <c r="N39" s="2">
        <v>1.7723</v>
      </c>
      <c r="O39" s="2">
        <v>0.94730000000000003</v>
      </c>
      <c r="P39" s="2">
        <v>630.5</v>
      </c>
      <c r="Q39" s="2">
        <v>78.81</v>
      </c>
      <c r="R39" s="2">
        <v>108.37</v>
      </c>
      <c r="S39" s="2">
        <v>7.8966000000000003</v>
      </c>
      <c r="T39" s="2">
        <v>0.12659999999999999</v>
      </c>
      <c r="U39" s="2">
        <v>8</v>
      </c>
      <c r="V39" s="2">
        <v>98.71</v>
      </c>
      <c r="W39" s="2">
        <v>1.107</v>
      </c>
      <c r="X39" s="2" t="s">
        <v>195</v>
      </c>
    </row>
    <row r="40" spans="1:24" x14ac:dyDescent="0.35">
      <c r="A40" s="2" t="s">
        <v>37</v>
      </c>
      <c r="B40" s="2" t="s">
        <v>42</v>
      </c>
      <c r="C40" s="2" t="s">
        <v>70</v>
      </c>
      <c r="D40" s="2" t="s">
        <v>71</v>
      </c>
      <c r="E40" s="3">
        <v>1048576</v>
      </c>
      <c r="F40" s="2">
        <v>3</v>
      </c>
      <c r="G40" s="2">
        <v>4</v>
      </c>
      <c r="H40" s="3">
        <v>1024</v>
      </c>
      <c r="I40" s="3">
        <v>1024</v>
      </c>
      <c r="J40" s="2">
        <v>32</v>
      </c>
      <c r="K40" s="3">
        <v>1024</v>
      </c>
      <c r="L40" s="3">
        <v>2048</v>
      </c>
      <c r="M40" s="2">
        <v>3.3102999999999998</v>
      </c>
      <c r="N40" s="2">
        <v>3.1507999999999998</v>
      </c>
      <c r="O40" s="2">
        <v>0.95179999999999998</v>
      </c>
      <c r="P40" s="2">
        <v>633.53</v>
      </c>
      <c r="Q40" s="2">
        <v>79.19</v>
      </c>
      <c r="R40" s="2">
        <v>108.89</v>
      </c>
      <c r="S40" s="2">
        <v>7.9010999999999996</v>
      </c>
      <c r="T40" s="2">
        <v>0.12659999999999999</v>
      </c>
      <c r="U40" s="2">
        <v>8</v>
      </c>
      <c r="V40" s="2">
        <v>98.76</v>
      </c>
      <c r="W40" s="2">
        <v>2.0150000000000001</v>
      </c>
      <c r="X40" s="2" t="s">
        <v>195</v>
      </c>
    </row>
    <row r="41" spans="1:24" x14ac:dyDescent="0.35">
      <c r="A41" s="2" t="s">
        <v>37</v>
      </c>
      <c r="B41" s="2" t="s">
        <v>42</v>
      </c>
      <c r="C41" s="2" t="s">
        <v>72</v>
      </c>
      <c r="D41" s="2" t="s">
        <v>73</v>
      </c>
      <c r="E41" s="3">
        <v>2359296</v>
      </c>
      <c r="F41" s="2">
        <v>4</v>
      </c>
      <c r="G41" s="2">
        <v>4</v>
      </c>
      <c r="H41" s="3">
        <v>3072</v>
      </c>
      <c r="I41" s="2">
        <v>768</v>
      </c>
      <c r="J41" s="2">
        <v>24</v>
      </c>
      <c r="K41" s="3">
        <v>2304</v>
      </c>
      <c r="L41" s="2">
        <v>911</v>
      </c>
      <c r="M41" s="2">
        <v>7.4077999999999999</v>
      </c>
      <c r="N41" s="2">
        <v>7.0891999999999999</v>
      </c>
      <c r="O41" s="2">
        <v>0.95699999999999996</v>
      </c>
      <c r="P41" s="2">
        <v>636.98</v>
      </c>
      <c r="Q41" s="2">
        <v>79.62</v>
      </c>
      <c r="R41" s="2">
        <v>109.48</v>
      </c>
      <c r="S41" s="2">
        <v>7.9863</v>
      </c>
      <c r="T41" s="2">
        <v>0.12520000000000001</v>
      </c>
      <c r="U41" s="2">
        <v>8</v>
      </c>
      <c r="V41" s="2">
        <v>99.83</v>
      </c>
      <c r="W41" s="2">
        <v>2.153</v>
      </c>
      <c r="X41" s="2" t="s">
        <v>195</v>
      </c>
    </row>
    <row r="42" spans="1:24" x14ac:dyDescent="0.35">
      <c r="A42" s="2" t="s">
        <v>37</v>
      </c>
      <c r="B42" s="2" t="s">
        <v>42</v>
      </c>
      <c r="C42" s="2" t="s">
        <v>74</v>
      </c>
      <c r="D42" s="2" t="s">
        <v>75</v>
      </c>
      <c r="E42" s="3">
        <v>2359296</v>
      </c>
      <c r="F42" s="2">
        <v>5</v>
      </c>
      <c r="G42" s="2">
        <v>4</v>
      </c>
      <c r="H42" s="2">
        <v>768</v>
      </c>
      <c r="I42" s="3">
        <v>3072</v>
      </c>
      <c r="J42" s="2">
        <v>96</v>
      </c>
      <c r="K42" s="3">
        <v>2304</v>
      </c>
      <c r="L42" s="2">
        <v>911</v>
      </c>
      <c r="M42" s="2">
        <v>7.3992000000000004</v>
      </c>
      <c r="N42" s="2">
        <v>7.0891999999999999</v>
      </c>
      <c r="O42" s="2">
        <v>0.95809999999999995</v>
      </c>
      <c r="P42" s="2">
        <v>637.71</v>
      </c>
      <c r="Q42" s="2">
        <v>79.709999999999994</v>
      </c>
      <c r="R42" s="2">
        <v>109.61</v>
      </c>
      <c r="S42" s="2">
        <v>8.0073000000000008</v>
      </c>
      <c r="T42" s="2">
        <v>0.1249</v>
      </c>
      <c r="U42" s="2">
        <v>8</v>
      </c>
      <c r="V42" s="2">
        <v>100.09</v>
      </c>
      <c r="W42" s="2">
        <v>0.128</v>
      </c>
      <c r="X42" s="2" t="s">
        <v>195</v>
      </c>
    </row>
    <row r="43" spans="1:24" x14ac:dyDescent="0.35">
      <c r="A43" s="2" t="s">
        <v>37</v>
      </c>
      <c r="B43" s="2" t="s">
        <v>42</v>
      </c>
      <c r="C43" s="2" t="s">
        <v>76</v>
      </c>
      <c r="D43" s="2" t="s">
        <v>77</v>
      </c>
      <c r="E43" s="3">
        <v>4194304</v>
      </c>
      <c r="F43" s="2">
        <v>6</v>
      </c>
      <c r="G43" s="2">
        <v>4</v>
      </c>
      <c r="H43" s="3">
        <v>4096</v>
      </c>
      <c r="I43" s="3">
        <v>1024</v>
      </c>
      <c r="J43" s="2">
        <v>32</v>
      </c>
      <c r="K43" s="3">
        <v>4096</v>
      </c>
      <c r="L43" s="2">
        <v>512</v>
      </c>
      <c r="M43" s="2">
        <v>13.117000000000001</v>
      </c>
      <c r="N43" s="2">
        <v>12.6031</v>
      </c>
      <c r="O43" s="2">
        <v>0.96079999999999999</v>
      </c>
      <c r="P43" s="2">
        <v>639.52</v>
      </c>
      <c r="Q43" s="2">
        <v>79.94</v>
      </c>
      <c r="R43" s="2">
        <v>109.92</v>
      </c>
      <c r="S43" s="2">
        <v>8.0099</v>
      </c>
      <c r="T43" s="2">
        <v>0.12479999999999999</v>
      </c>
      <c r="U43" s="2">
        <v>8</v>
      </c>
      <c r="V43" s="2">
        <v>100.12</v>
      </c>
      <c r="W43" s="2">
        <v>0.33700000000000002</v>
      </c>
      <c r="X43" s="2" t="s">
        <v>195</v>
      </c>
    </row>
    <row r="44" spans="1:24" x14ac:dyDescent="0.35">
      <c r="A44" s="2" t="s">
        <v>37</v>
      </c>
      <c r="B44" s="2" t="s">
        <v>42</v>
      </c>
      <c r="C44" s="2" t="s">
        <v>78</v>
      </c>
      <c r="D44" s="2" t="s">
        <v>79</v>
      </c>
      <c r="E44" s="3">
        <v>4194304</v>
      </c>
      <c r="F44" s="2">
        <v>7</v>
      </c>
      <c r="G44" s="2">
        <v>4</v>
      </c>
      <c r="H44" s="3">
        <v>1024</v>
      </c>
      <c r="I44" s="3">
        <v>4096</v>
      </c>
      <c r="J44" s="2">
        <v>128</v>
      </c>
      <c r="K44" s="3">
        <v>4096</v>
      </c>
      <c r="L44" s="2">
        <v>512</v>
      </c>
      <c r="M44" s="2">
        <v>12.850099999999999</v>
      </c>
      <c r="N44" s="2">
        <v>12.6031</v>
      </c>
      <c r="O44" s="2">
        <v>0.98080000000000001</v>
      </c>
      <c r="P44" s="2">
        <v>652.79999999999995</v>
      </c>
      <c r="Q44" s="2">
        <v>81.599999999999994</v>
      </c>
      <c r="R44" s="2">
        <v>112.2</v>
      </c>
      <c r="S44" s="2">
        <v>8.1850000000000005</v>
      </c>
      <c r="T44" s="2">
        <v>0.1222</v>
      </c>
      <c r="U44" s="2">
        <v>8</v>
      </c>
      <c r="V44" s="2">
        <v>102.31</v>
      </c>
      <c r="W44" s="2">
        <v>3.12</v>
      </c>
      <c r="X44" s="2" t="s">
        <v>195</v>
      </c>
    </row>
    <row r="45" spans="1:24" x14ac:dyDescent="0.35">
      <c r="A45" s="2" t="s">
        <v>37</v>
      </c>
      <c r="B45" s="2" t="s">
        <v>42</v>
      </c>
      <c r="C45" s="2" t="s">
        <v>80</v>
      </c>
      <c r="D45" s="2" t="s">
        <v>81</v>
      </c>
      <c r="E45" s="3">
        <v>4194304</v>
      </c>
      <c r="F45" s="2">
        <v>8</v>
      </c>
      <c r="G45" s="2">
        <v>4</v>
      </c>
      <c r="H45" s="3">
        <v>2048</v>
      </c>
      <c r="I45" s="3">
        <v>2048</v>
      </c>
      <c r="J45" s="2">
        <v>64</v>
      </c>
      <c r="K45" s="3">
        <v>4096</v>
      </c>
      <c r="L45" s="2">
        <v>512</v>
      </c>
      <c r="M45" s="2">
        <v>13.077400000000001</v>
      </c>
      <c r="N45" s="2">
        <v>12.6031</v>
      </c>
      <c r="O45" s="2">
        <v>0.9637</v>
      </c>
      <c r="P45" s="2">
        <v>641.46</v>
      </c>
      <c r="Q45" s="2">
        <v>80.180000000000007</v>
      </c>
      <c r="R45" s="2">
        <v>110.25</v>
      </c>
      <c r="S45" s="2">
        <v>8.0428999999999995</v>
      </c>
      <c r="T45" s="2">
        <v>0.12429999999999999</v>
      </c>
      <c r="U45" s="2">
        <v>8</v>
      </c>
      <c r="V45" s="2">
        <v>100.54</v>
      </c>
      <c r="W45" s="2">
        <v>0.93300000000000005</v>
      </c>
      <c r="X45" s="2" t="s">
        <v>195</v>
      </c>
    </row>
    <row r="46" spans="1:24" x14ac:dyDescent="0.35">
      <c r="A46" s="2" t="s">
        <v>37</v>
      </c>
      <c r="B46" s="2" t="s">
        <v>42</v>
      </c>
      <c r="C46" s="2" t="s">
        <v>82</v>
      </c>
      <c r="D46" s="2" t="s">
        <v>83</v>
      </c>
      <c r="E46" s="3">
        <v>16777216</v>
      </c>
      <c r="F46" s="2">
        <v>9</v>
      </c>
      <c r="G46" s="2">
        <v>4</v>
      </c>
      <c r="H46" s="3">
        <v>4096</v>
      </c>
      <c r="I46" s="3">
        <v>4096</v>
      </c>
      <c r="J46" s="2">
        <v>128</v>
      </c>
      <c r="K46" s="3">
        <v>16384</v>
      </c>
      <c r="L46" s="2">
        <v>128</v>
      </c>
      <c r="M46" s="2">
        <v>52.096200000000003</v>
      </c>
      <c r="N46" s="2">
        <v>50.412300000000002</v>
      </c>
      <c r="O46" s="2">
        <v>0.9677</v>
      </c>
      <c r="P46" s="2">
        <v>644.09</v>
      </c>
      <c r="Q46" s="2">
        <v>80.510000000000005</v>
      </c>
      <c r="R46" s="2">
        <v>110.7</v>
      </c>
      <c r="S46" s="2">
        <v>8.0114999999999998</v>
      </c>
      <c r="T46" s="2">
        <v>0.12479999999999999</v>
      </c>
      <c r="U46" s="2">
        <v>8</v>
      </c>
      <c r="V46" s="2">
        <v>100.14</v>
      </c>
      <c r="W46" s="2">
        <v>1.4359999999999999</v>
      </c>
      <c r="X46" s="2" t="s">
        <v>195</v>
      </c>
    </row>
    <row r="47" spans="1:24" x14ac:dyDescent="0.35">
      <c r="A47" s="2" t="s">
        <v>37</v>
      </c>
      <c r="B47" s="2" t="s">
        <v>42</v>
      </c>
      <c r="C47" s="2" t="s">
        <v>84</v>
      </c>
      <c r="D47" s="2" t="s">
        <v>85</v>
      </c>
      <c r="E47" s="3">
        <v>16777216</v>
      </c>
      <c r="F47" s="2">
        <v>10</v>
      </c>
      <c r="G47" s="2">
        <v>4</v>
      </c>
      <c r="H47" s="3">
        <v>8192</v>
      </c>
      <c r="I47" s="3">
        <v>2048</v>
      </c>
      <c r="J47" s="2">
        <v>64</v>
      </c>
      <c r="K47" s="3">
        <v>16384</v>
      </c>
      <c r="L47" s="2">
        <v>128</v>
      </c>
      <c r="M47" s="2">
        <v>52.378799999999998</v>
      </c>
      <c r="N47" s="2">
        <v>50.412300000000002</v>
      </c>
      <c r="O47" s="2">
        <v>0.96250000000000002</v>
      </c>
      <c r="P47" s="2">
        <v>640.61</v>
      </c>
      <c r="Q47" s="2">
        <v>80.08</v>
      </c>
      <c r="R47" s="2">
        <v>110.11</v>
      </c>
      <c r="S47" s="2">
        <v>8.0069999999999997</v>
      </c>
      <c r="T47" s="2">
        <v>0.1249</v>
      </c>
      <c r="U47" s="2">
        <v>8</v>
      </c>
      <c r="V47" s="2">
        <v>100.09</v>
      </c>
      <c r="W47" s="2">
        <v>1.081</v>
      </c>
      <c r="X47" s="2" t="s">
        <v>195</v>
      </c>
    </row>
    <row r="48" spans="1:24" x14ac:dyDescent="0.35">
      <c r="A48" s="2" t="s">
        <v>37</v>
      </c>
      <c r="B48" s="2" t="s">
        <v>42</v>
      </c>
      <c r="C48" s="2" t="s">
        <v>86</v>
      </c>
      <c r="D48" s="2" t="s">
        <v>87</v>
      </c>
      <c r="E48" s="3">
        <v>16777216</v>
      </c>
      <c r="F48" s="2">
        <v>11</v>
      </c>
      <c r="G48" s="2">
        <v>4</v>
      </c>
      <c r="H48" s="3">
        <v>2048</v>
      </c>
      <c r="I48" s="3">
        <v>8192</v>
      </c>
      <c r="J48" s="2">
        <v>256</v>
      </c>
      <c r="K48" s="3">
        <v>16384</v>
      </c>
      <c r="L48" s="2">
        <v>128</v>
      </c>
      <c r="M48" s="2">
        <v>52.020099999999999</v>
      </c>
      <c r="N48" s="2">
        <v>50.412300000000002</v>
      </c>
      <c r="O48" s="2">
        <v>0.96909999999999996</v>
      </c>
      <c r="P48" s="2">
        <v>645.03</v>
      </c>
      <c r="Q48" s="2">
        <v>80.63</v>
      </c>
      <c r="R48" s="2">
        <v>110.86</v>
      </c>
      <c r="S48" s="2">
        <v>8.0952999999999999</v>
      </c>
      <c r="T48" s="2">
        <v>0.1235</v>
      </c>
      <c r="U48" s="2">
        <v>8</v>
      </c>
      <c r="V48" s="2">
        <v>101.19</v>
      </c>
      <c r="W48" s="2">
        <v>1.5229999999999999</v>
      </c>
      <c r="X48" s="2" t="s">
        <v>195</v>
      </c>
    </row>
    <row r="49" spans="1:24" x14ac:dyDescent="0.35">
      <c r="A49" s="2" t="s">
        <v>37</v>
      </c>
      <c r="B49" s="2" t="s">
        <v>42</v>
      </c>
      <c r="C49" s="2" t="s">
        <v>88</v>
      </c>
      <c r="F49" s="2">
        <v>12</v>
      </c>
      <c r="G49" s="2">
        <v>4</v>
      </c>
      <c r="O49" s="2">
        <v>0.96030000000000004</v>
      </c>
      <c r="P49" s="2">
        <v>639.19000000000005</v>
      </c>
      <c r="S49" s="2">
        <v>8.0023999999999997</v>
      </c>
      <c r="T49" s="2">
        <v>0.125</v>
      </c>
      <c r="U49" s="2">
        <v>8</v>
      </c>
      <c r="V49" s="2">
        <v>100.03</v>
      </c>
      <c r="X49" s="2" t="s">
        <v>195</v>
      </c>
    </row>
    <row r="50" spans="1:24" x14ac:dyDescent="0.35">
      <c r="A50" s="2" t="s">
        <v>37</v>
      </c>
      <c r="B50" s="2" t="s">
        <v>44</v>
      </c>
      <c r="C50" s="2" t="s">
        <v>66</v>
      </c>
      <c r="D50" s="2" t="s">
        <v>67</v>
      </c>
      <c r="E50" s="3">
        <v>262144</v>
      </c>
      <c r="F50" s="2">
        <v>1</v>
      </c>
      <c r="G50" s="2">
        <v>5</v>
      </c>
      <c r="H50" s="2">
        <v>512</v>
      </c>
      <c r="I50" s="2">
        <v>512</v>
      </c>
      <c r="J50" s="2">
        <v>16</v>
      </c>
      <c r="K50" s="2">
        <v>128</v>
      </c>
      <c r="L50" s="3">
        <v>16384</v>
      </c>
      <c r="M50" s="2">
        <v>0.4284</v>
      </c>
      <c r="N50" s="2">
        <v>0.39379999999999998</v>
      </c>
      <c r="O50" s="2">
        <v>0.91920000000000002</v>
      </c>
      <c r="P50" s="2">
        <v>1223.7</v>
      </c>
      <c r="Q50" s="2">
        <v>76.48</v>
      </c>
      <c r="R50" s="2">
        <v>105.16</v>
      </c>
      <c r="S50" s="2">
        <v>15.344099999999999</v>
      </c>
      <c r="T50" s="2">
        <v>6.5199999999999994E-2</v>
      </c>
      <c r="U50" s="2">
        <v>16</v>
      </c>
      <c r="V50" s="2">
        <v>95.9</v>
      </c>
      <c r="W50" s="2">
        <v>1.615</v>
      </c>
      <c r="X50" s="2" t="s">
        <v>195</v>
      </c>
    </row>
    <row r="51" spans="1:24" x14ac:dyDescent="0.35">
      <c r="A51" s="2" t="s">
        <v>37</v>
      </c>
      <c r="B51" s="2" t="s">
        <v>44</v>
      </c>
      <c r="C51" s="2" t="s">
        <v>68</v>
      </c>
      <c r="D51" s="2" t="s">
        <v>69</v>
      </c>
      <c r="E51" s="3">
        <v>589824</v>
      </c>
      <c r="F51" s="2">
        <v>2</v>
      </c>
      <c r="G51" s="2">
        <v>5</v>
      </c>
      <c r="H51" s="2">
        <v>768</v>
      </c>
      <c r="I51" s="2">
        <v>768</v>
      </c>
      <c r="J51" s="2">
        <v>24</v>
      </c>
      <c r="K51" s="2">
        <v>288</v>
      </c>
      <c r="L51" s="3">
        <v>7282</v>
      </c>
      <c r="M51" s="2">
        <v>0.94510000000000005</v>
      </c>
      <c r="N51" s="2">
        <v>0.88619999999999999</v>
      </c>
      <c r="O51" s="2">
        <v>0.93759999999999999</v>
      </c>
      <c r="P51" s="2">
        <v>1248.17</v>
      </c>
      <c r="Q51" s="2">
        <v>78.010000000000005</v>
      </c>
      <c r="R51" s="2">
        <v>107.26</v>
      </c>
      <c r="S51" s="2">
        <v>15.6328</v>
      </c>
      <c r="T51" s="2">
        <v>6.4000000000000001E-2</v>
      </c>
      <c r="U51" s="2">
        <v>16</v>
      </c>
      <c r="V51" s="2">
        <v>97.71</v>
      </c>
      <c r="W51" s="2">
        <v>0.24099999999999999</v>
      </c>
      <c r="X51" s="2" t="s">
        <v>195</v>
      </c>
    </row>
    <row r="52" spans="1:24" x14ac:dyDescent="0.35">
      <c r="A52" s="2" t="s">
        <v>37</v>
      </c>
      <c r="B52" s="2" t="s">
        <v>44</v>
      </c>
      <c r="C52" s="2" t="s">
        <v>70</v>
      </c>
      <c r="D52" s="2" t="s">
        <v>71</v>
      </c>
      <c r="E52" s="3">
        <v>1048576</v>
      </c>
      <c r="F52" s="2">
        <v>3</v>
      </c>
      <c r="G52" s="2">
        <v>5</v>
      </c>
      <c r="H52" s="3">
        <v>1024</v>
      </c>
      <c r="I52" s="3">
        <v>1024</v>
      </c>
      <c r="J52" s="2">
        <v>32</v>
      </c>
      <c r="K52" s="2">
        <v>512</v>
      </c>
      <c r="L52" s="3">
        <v>4096</v>
      </c>
      <c r="M52" s="2">
        <v>1.6613</v>
      </c>
      <c r="N52" s="2">
        <v>1.5753999999999999</v>
      </c>
      <c r="O52" s="2">
        <v>0.94830000000000003</v>
      </c>
      <c r="P52" s="2">
        <v>1262.3800000000001</v>
      </c>
      <c r="Q52" s="2">
        <v>78.900000000000006</v>
      </c>
      <c r="R52" s="2">
        <v>108.49</v>
      </c>
      <c r="S52" s="2">
        <v>15.7437</v>
      </c>
      <c r="T52" s="2">
        <v>6.3500000000000001E-2</v>
      </c>
      <c r="U52" s="2">
        <v>16</v>
      </c>
      <c r="V52" s="2">
        <v>98.4</v>
      </c>
      <c r="W52" s="2">
        <v>1.429</v>
      </c>
      <c r="X52" s="2" t="s">
        <v>195</v>
      </c>
    </row>
    <row r="53" spans="1:24" x14ac:dyDescent="0.35">
      <c r="A53" s="2" t="s">
        <v>37</v>
      </c>
      <c r="B53" s="2" t="s">
        <v>44</v>
      </c>
      <c r="C53" s="2" t="s">
        <v>72</v>
      </c>
      <c r="D53" s="2" t="s">
        <v>73</v>
      </c>
      <c r="E53" s="3">
        <v>2359296</v>
      </c>
      <c r="F53" s="2">
        <v>4</v>
      </c>
      <c r="G53" s="2">
        <v>5</v>
      </c>
      <c r="H53" s="3">
        <v>3072</v>
      </c>
      <c r="I53" s="2">
        <v>768</v>
      </c>
      <c r="J53" s="2">
        <v>24</v>
      </c>
      <c r="K53" s="3">
        <v>1152</v>
      </c>
      <c r="L53" s="3">
        <v>1821</v>
      </c>
      <c r="M53" s="2">
        <v>3.7804000000000002</v>
      </c>
      <c r="N53" s="2">
        <v>3.5446</v>
      </c>
      <c r="O53" s="2">
        <v>0.93759999999999999</v>
      </c>
      <c r="P53" s="2">
        <v>1248.17</v>
      </c>
      <c r="Q53" s="2">
        <v>78.010000000000005</v>
      </c>
      <c r="R53" s="2">
        <v>107.26</v>
      </c>
      <c r="S53" s="2">
        <v>15.6495</v>
      </c>
      <c r="T53" s="2">
        <v>6.3899999999999998E-2</v>
      </c>
      <c r="U53" s="2">
        <v>16</v>
      </c>
      <c r="V53" s="2">
        <v>97.81</v>
      </c>
      <c r="W53" s="2">
        <v>1.234</v>
      </c>
      <c r="X53" s="2" t="s">
        <v>195</v>
      </c>
    </row>
    <row r="54" spans="1:24" x14ac:dyDescent="0.35">
      <c r="A54" s="2" t="s">
        <v>37</v>
      </c>
      <c r="B54" s="2" t="s">
        <v>44</v>
      </c>
      <c r="C54" s="2" t="s">
        <v>74</v>
      </c>
      <c r="D54" s="2" t="s">
        <v>75</v>
      </c>
      <c r="E54" s="3">
        <v>2359296</v>
      </c>
      <c r="F54" s="2">
        <v>5</v>
      </c>
      <c r="G54" s="2">
        <v>5</v>
      </c>
      <c r="H54" s="2">
        <v>768</v>
      </c>
      <c r="I54" s="3">
        <v>3072</v>
      </c>
      <c r="J54" s="2">
        <v>96</v>
      </c>
      <c r="K54" s="3">
        <v>1152</v>
      </c>
      <c r="L54" s="3">
        <v>1821</v>
      </c>
      <c r="M54" s="2">
        <v>3.6716000000000002</v>
      </c>
      <c r="N54" s="2">
        <v>3.5446</v>
      </c>
      <c r="O54" s="2">
        <v>0.96540000000000004</v>
      </c>
      <c r="P54" s="2">
        <v>1285.17</v>
      </c>
      <c r="Q54" s="2">
        <v>80.319999999999993</v>
      </c>
      <c r="R54" s="2">
        <v>110.44</v>
      </c>
      <c r="S54" s="2">
        <v>16.136600000000001</v>
      </c>
      <c r="T54" s="2">
        <v>6.2E-2</v>
      </c>
      <c r="U54" s="2">
        <v>16</v>
      </c>
      <c r="V54" s="2">
        <v>100.85</v>
      </c>
      <c r="W54" s="2">
        <v>0.432</v>
      </c>
      <c r="X54" s="2" t="s">
        <v>195</v>
      </c>
    </row>
    <row r="55" spans="1:24" x14ac:dyDescent="0.35">
      <c r="A55" s="2" t="s">
        <v>37</v>
      </c>
      <c r="B55" s="2" t="s">
        <v>44</v>
      </c>
      <c r="C55" s="2" t="s">
        <v>76</v>
      </c>
      <c r="D55" s="2" t="s">
        <v>77</v>
      </c>
      <c r="E55" s="3">
        <v>4194304</v>
      </c>
      <c r="F55" s="2">
        <v>6</v>
      </c>
      <c r="G55" s="2">
        <v>5</v>
      </c>
      <c r="H55" s="3">
        <v>4096</v>
      </c>
      <c r="I55" s="3">
        <v>1024</v>
      </c>
      <c r="J55" s="2">
        <v>32</v>
      </c>
      <c r="K55" s="3">
        <v>2048</v>
      </c>
      <c r="L55" s="3">
        <v>1024</v>
      </c>
      <c r="M55" s="2">
        <v>6.6542000000000003</v>
      </c>
      <c r="N55" s="2">
        <v>6.3014999999999999</v>
      </c>
      <c r="O55" s="2">
        <v>0.94699999999999995</v>
      </c>
      <c r="P55" s="2">
        <v>1260.6600000000001</v>
      </c>
      <c r="Q55" s="2">
        <v>78.790000000000006</v>
      </c>
      <c r="R55" s="2">
        <v>108.34</v>
      </c>
      <c r="S55" s="2">
        <v>15.7895</v>
      </c>
      <c r="T55" s="2">
        <v>6.3299999999999995E-2</v>
      </c>
      <c r="U55" s="2">
        <v>16</v>
      </c>
      <c r="V55" s="2">
        <v>98.68</v>
      </c>
      <c r="W55" s="2">
        <v>2.3319999999999999</v>
      </c>
      <c r="X55" s="2" t="s">
        <v>195</v>
      </c>
    </row>
    <row r="56" spans="1:24" x14ac:dyDescent="0.35">
      <c r="A56" s="2" t="s">
        <v>37</v>
      </c>
      <c r="B56" s="2" t="s">
        <v>44</v>
      </c>
      <c r="C56" s="2" t="s">
        <v>78</v>
      </c>
      <c r="D56" s="2" t="s">
        <v>79</v>
      </c>
      <c r="E56" s="3">
        <v>4194304</v>
      </c>
      <c r="F56" s="2">
        <v>7</v>
      </c>
      <c r="G56" s="2">
        <v>5</v>
      </c>
      <c r="H56" s="3">
        <v>1024</v>
      </c>
      <c r="I56" s="3">
        <v>4096</v>
      </c>
      <c r="J56" s="2">
        <v>128</v>
      </c>
      <c r="K56" s="3">
        <v>2048</v>
      </c>
      <c r="L56" s="3">
        <v>1024</v>
      </c>
      <c r="M56" s="2">
        <v>6.4390000000000001</v>
      </c>
      <c r="N56" s="2">
        <v>6.3014999999999999</v>
      </c>
      <c r="O56" s="2">
        <v>0.97860000000000003</v>
      </c>
      <c r="P56" s="2">
        <v>1302.78</v>
      </c>
      <c r="Q56" s="2">
        <v>81.42</v>
      </c>
      <c r="R56" s="2">
        <v>111.96</v>
      </c>
      <c r="S56" s="2">
        <v>16.334599999999998</v>
      </c>
      <c r="T56" s="2">
        <v>6.1199999999999997E-2</v>
      </c>
      <c r="U56" s="2">
        <v>16</v>
      </c>
      <c r="V56" s="2">
        <v>102.09</v>
      </c>
      <c r="W56" s="2">
        <v>2.2650000000000001</v>
      </c>
      <c r="X56" s="2" t="s">
        <v>195</v>
      </c>
    </row>
    <row r="57" spans="1:24" x14ac:dyDescent="0.35">
      <c r="A57" s="2" t="s">
        <v>37</v>
      </c>
      <c r="B57" s="2" t="s">
        <v>44</v>
      </c>
      <c r="C57" s="2" t="s">
        <v>80</v>
      </c>
      <c r="D57" s="2" t="s">
        <v>81</v>
      </c>
      <c r="E57" s="3">
        <v>4194304</v>
      </c>
      <c r="F57" s="2">
        <v>8</v>
      </c>
      <c r="G57" s="2">
        <v>5</v>
      </c>
      <c r="H57" s="3">
        <v>2048</v>
      </c>
      <c r="I57" s="3">
        <v>2048</v>
      </c>
      <c r="J57" s="2">
        <v>64</v>
      </c>
      <c r="K57" s="3">
        <v>2048</v>
      </c>
      <c r="L57" s="3">
        <v>1024</v>
      </c>
      <c r="M57" s="2">
        <v>6.5060000000000002</v>
      </c>
      <c r="N57" s="2">
        <v>6.3014999999999999</v>
      </c>
      <c r="O57" s="2">
        <v>0.96860000000000002</v>
      </c>
      <c r="P57" s="2">
        <v>1289.3599999999999</v>
      </c>
      <c r="Q57" s="2">
        <v>80.59</v>
      </c>
      <c r="R57" s="2">
        <v>110.8</v>
      </c>
      <c r="S57" s="2">
        <v>16.166599999999999</v>
      </c>
      <c r="T57" s="2">
        <v>6.1899999999999997E-2</v>
      </c>
      <c r="U57" s="2">
        <v>16</v>
      </c>
      <c r="V57" s="2">
        <v>101.04</v>
      </c>
      <c r="W57" s="2">
        <v>1.5760000000000001</v>
      </c>
      <c r="X57" s="2" t="s">
        <v>195</v>
      </c>
    </row>
    <row r="58" spans="1:24" x14ac:dyDescent="0.35">
      <c r="A58" s="2" t="s">
        <v>37</v>
      </c>
      <c r="B58" s="2" t="s">
        <v>44</v>
      </c>
      <c r="C58" s="2" t="s">
        <v>82</v>
      </c>
      <c r="D58" s="2" t="s">
        <v>83</v>
      </c>
      <c r="E58" s="3">
        <v>16777216</v>
      </c>
      <c r="F58" s="2">
        <v>9</v>
      </c>
      <c r="G58" s="2">
        <v>5</v>
      </c>
      <c r="H58" s="3">
        <v>4096</v>
      </c>
      <c r="I58" s="3">
        <v>4096</v>
      </c>
      <c r="J58" s="2">
        <v>128</v>
      </c>
      <c r="K58" s="3">
        <v>8192</v>
      </c>
      <c r="L58" s="2">
        <v>256</v>
      </c>
      <c r="M58" s="2">
        <v>26.107700000000001</v>
      </c>
      <c r="N58" s="2">
        <v>25.206199999999999</v>
      </c>
      <c r="O58" s="2">
        <v>0.96550000000000002</v>
      </c>
      <c r="P58" s="2">
        <v>1285.23</v>
      </c>
      <c r="Q58" s="2">
        <v>80.33</v>
      </c>
      <c r="R58" s="2">
        <v>110.45</v>
      </c>
      <c r="S58" s="2">
        <v>15.9864</v>
      </c>
      <c r="T58" s="2">
        <v>6.2600000000000003E-2</v>
      </c>
      <c r="U58" s="2">
        <v>16</v>
      </c>
      <c r="V58" s="2">
        <v>99.92</v>
      </c>
      <c r="W58" s="2">
        <v>0.23200000000000001</v>
      </c>
      <c r="X58" s="2" t="s">
        <v>195</v>
      </c>
    </row>
    <row r="59" spans="1:24" x14ac:dyDescent="0.35">
      <c r="A59" s="2" t="s">
        <v>37</v>
      </c>
      <c r="B59" s="2" t="s">
        <v>44</v>
      </c>
      <c r="C59" s="2" t="s">
        <v>84</v>
      </c>
      <c r="D59" s="2" t="s">
        <v>85</v>
      </c>
      <c r="E59" s="3">
        <v>16777216</v>
      </c>
      <c r="F59" s="2">
        <v>10</v>
      </c>
      <c r="G59" s="2">
        <v>5</v>
      </c>
      <c r="H59" s="3">
        <v>8192</v>
      </c>
      <c r="I59" s="3">
        <v>2048</v>
      </c>
      <c r="J59" s="2">
        <v>64</v>
      </c>
      <c r="K59" s="3">
        <v>8192</v>
      </c>
      <c r="L59" s="2">
        <v>256</v>
      </c>
      <c r="M59" s="2">
        <v>26.165500000000002</v>
      </c>
      <c r="N59" s="2">
        <v>25.206199999999999</v>
      </c>
      <c r="O59" s="2">
        <v>0.96330000000000005</v>
      </c>
      <c r="P59" s="2">
        <v>1282.3900000000001</v>
      </c>
      <c r="Q59" s="2">
        <v>80.150000000000006</v>
      </c>
      <c r="R59" s="2">
        <v>110.21</v>
      </c>
      <c r="S59" s="2">
        <v>16.028600000000001</v>
      </c>
      <c r="T59" s="2">
        <v>6.2399999999999997E-2</v>
      </c>
      <c r="U59" s="2">
        <v>16</v>
      </c>
      <c r="V59" s="2">
        <v>100.18</v>
      </c>
      <c r="W59" s="2">
        <v>0.874</v>
      </c>
      <c r="X59" s="2" t="s">
        <v>195</v>
      </c>
    </row>
    <row r="60" spans="1:24" x14ac:dyDescent="0.35">
      <c r="A60" s="2" t="s">
        <v>37</v>
      </c>
      <c r="B60" s="2" t="s">
        <v>44</v>
      </c>
      <c r="C60" s="2" t="s">
        <v>86</v>
      </c>
      <c r="D60" s="2" t="s">
        <v>87</v>
      </c>
      <c r="E60" s="3">
        <v>16777216</v>
      </c>
      <c r="F60" s="2">
        <v>11</v>
      </c>
      <c r="G60" s="2">
        <v>5</v>
      </c>
      <c r="H60" s="3">
        <v>2048</v>
      </c>
      <c r="I60" s="3">
        <v>8192</v>
      </c>
      <c r="J60" s="2">
        <v>256</v>
      </c>
      <c r="K60" s="3">
        <v>8192</v>
      </c>
      <c r="L60" s="2">
        <v>256</v>
      </c>
      <c r="M60" s="2">
        <v>25.807200000000002</v>
      </c>
      <c r="N60" s="2">
        <v>25.206199999999999</v>
      </c>
      <c r="O60" s="2">
        <v>0.97670000000000001</v>
      </c>
      <c r="P60" s="2">
        <v>1300.2</v>
      </c>
      <c r="Q60" s="2">
        <v>81.260000000000005</v>
      </c>
      <c r="R60" s="2">
        <v>111.74</v>
      </c>
      <c r="S60" s="2">
        <v>16.317900000000002</v>
      </c>
      <c r="T60" s="2">
        <v>6.13E-2</v>
      </c>
      <c r="U60" s="2">
        <v>16</v>
      </c>
      <c r="V60" s="2">
        <v>101.99</v>
      </c>
      <c r="W60" s="2">
        <v>2.9980000000000002</v>
      </c>
      <c r="X60" s="2" t="s">
        <v>195</v>
      </c>
    </row>
    <row r="61" spans="1:24" x14ac:dyDescent="0.35">
      <c r="A61" s="2" t="s">
        <v>37</v>
      </c>
      <c r="B61" s="2" t="s">
        <v>44</v>
      </c>
      <c r="C61" s="2" t="s">
        <v>88</v>
      </c>
      <c r="F61" s="2">
        <v>12</v>
      </c>
      <c r="G61" s="2">
        <v>5</v>
      </c>
      <c r="O61" s="2">
        <v>0.95509999999999995</v>
      </c>
      <c r="P61" s="2">
        <v>1271.43</v>
      </c>
      <c r="S61" s="2">
        <v>15.918100000000001</v>
      </c>
      <c r="T61" s="2">
        <v>6.2799999999999995E-2</v>
      </c>
      <c r="U61" s="2">
        <v>16</v>
      </c>
      <c r="V61" s="2">
        <v>99.49</v>
      </c>
      <c r="X61" s="2" t="s">
        <v>195</v>
      </c>
    </row>
    <row r="62" spans="1:24" x14ac:dyDescent="0.35">
      <c r="A62" s="2" t="s">
        <v>37</v>
      </c>
      <c r="B62" s="2" t="s">
        <v>46</v>
      </c>
      <c r="C62" s="2" t="s">
        <v>66</v>
      </c>
      <c r="D62" s="2" t="s">
        <v>67</v>
      </c>
      <c r="E62" s="3">
        <v>262144</v>
      </c>
      <c r="F62" s="2">
        <v>1</v>
      </c>
      <c r="G62" s="2">
        <v>6</v>
      </c>
      <c r="H62" s="2">
        <v>512</v>
      </c>
      <c r="I62" s="2">
        <v>512</v>
      </c>
      <c r="J62" s="2">
        <v>16</v>
      </c>
      <c r="K62" s="2">
        <v>480</v>
      </c>
      <c r="L62" s="3">
        <v>4370</v>
      </c>
      <c r="M62" s="2">
        <v>1.5274000000000001</v>
      </c>
      <c r="N62" s="2">
        <v>1.4769000000000001</v>
      </c>
      <c r="O62" s="2">
        <v>0.96699999999999997</v>
      </c>
      <c r="P62" s="2">
        <v>343.26</v>
      </c>
      <c r="Q62" s="2">
        <v>80.45</v>
      </c>
      <c r="R62" s="2">
        <v>110.62</v>
      </c>
      <c r="S62" s="2">
        <v>4.3037000000000001</v>
      </c>
      <c r="T62" s="2">
        <v>0.2324</v>
      </c>
      <c r="U62" s="2">
        <v>4.2666666666666666</v>
      </c>
      <c r="V62" s="2">
        <v>100.87</v>
      </c>
      <c r="W62" s="2">
        <v>1.286</v>
      </c>
      <c r="X62" s="2" t="s">
        <v>195</v>
      </c>
    </row>
    <row r="63" spans="1:24" x14ac:dyDescent="0.35">
      <c r="A63" s="2" t="s">
        <v>37</v>
      </c>
      <c r="B63" s="2" t="s">
        <v>46</v>
      </c>
      <c r="C63" s="2" t="s">
        <v>68</v>
      </c>
      <c r="D63" s="2" t="s">
        <v>69</v>
      </c>
      <c r="E63" s="3">
        <v>589824</v>
      </c>
      <c r="F63" s="2">
        <v>2</v>
      </c>
      <c r="G63" s="2">
        <v>6</v>
      </c>
      <c r="H63" s="2">
        <v>768</v>
      </c>
      <c r="I63" s="2">
        <v>768</v>
      </c>
      <c r="J63" s="2">
        <v>24</v>
      </c>
      <c r="K63" s="3">
        <v>1080</v>
      </c>
      <c r="L63" s="3">
        <v>1942</v>
      </c>
      <c r="M63" s="2">
        <v>3.4472</v>
      </c>
      <c r="N63" s="2">
        <v>3.3231000000000002</v>
      </c>
      <c r="O63" s="2">
        <v>0.96399999999999997</v>
      </c>
      <c r="P63" s="2">
        <v>342.2</v>
      </c>
      <c r="Q63" s="2">
        <v>80.2</v>
      </c>
      <c r="R63" s="2">
        <v>110.28</v>
      </c>
      <c r="S63" s="2">
        <v>4.2859999999999996</v>
      </c>
      <c r="T63" s="2">
        <v>0.23330000000000001</v>
      </c>
      <c r="U63" s="2">
        <v>4.2666666666666666</v>
      </c>
      <c r="V63" s="2">
        <v>100.45</v>
      </c>
      <c r="W63" s="2">
        <v>0.74</v>
      </c>
      <c r="X63" s="2" t="s">
        <v>195</v>
      </c>
    </row>
    <row r="64" spans="1:24" x14ac:dyDescent="0.35">
      <c r="A64" s="2" t="s">
        <v>37</v>
      </c>
      <c r="B64" s="2" t="s">
        <v>46</v>
      </c>
      <c r="C64" s="2" t="s">
        <v>70</v>
      </c>
      <c r="D64" s="2" t="s">
        <v>71</v>
      </c>
      <c r="E64" s="3">
        <v>1048576</v>
      </c>
      <c r="F64" s="2">
        <v>3</v>
      </c>
      <c r="G64" s="2">
        <v>6</v>
      </c>
      <c r="H64" s="3">
        <v>1024</v>
      </c>
      <c r="I64" s="3">
        <v>1024</v>
      </c>
      <c r="J64" s="2">
        <v>32</v>
      </c>
      <c r="K64" s="3">
        <v>1920</v>
      </c>
      <c r="L64" s="3">
        <v>1093</v>
      </c>
      <c r="M64" s="2">
        <v>5.9927999999999999</v>
      </c>
      <c r="N64" s="2">
        <v>5.9077000000000002</v>
      </c>
      <c r="O64" s="2">
        <v>0.98580000000000001</v>
      </c>
      <c r="P64" s="2">
        <v>349.95</v>
      </c>
      <c r="Q64" s="2">
        <v>82.02</v>
      </c>
      <c r="R64" s="2">
        <v>112.78</v>
      </c>
      <c r="S64" s="2">
        <v>4.3643999999999998</v>
      </c>
      <c r="T64" s="2">
        <v>0.2291</v>
      </c>
      <c r="U64" s="2">
        <v>4.2666666666666666</v>
      </c>
      <c r="V64" s="2">
        <v>102.29</v>
      </c>
      <c r="W64" s="2">
        <v>3.83</v>
      </c>
      <c r="X64" s="2" t="s">
        <v>195</v>
      </c>
    </row>
    <row r="65" spans="1:24" x14ac:dyDescent="0.35">
      <c r="A65" s="2" t="s">
        <v>37</v>
      </c>
      <c r="B65" s="2" t="s">
        <v>46</v>
      </c>
      <c r="C65" s="2" t="s">
        <v>72</v>
      </c>
      <c r="D65" s="2" t="s">
        <v>73</v>
      </c>
      <c r="E65" s="3">
        <v>2359296</v>
      </c>
      <c r="F65" s="2">
        <v>4</v>
      </c>
      <c r="G65" s="2">
        <v>6</v>
      </c>
      <c r="H65" s="3">
        <v>3072</v>
      </c>
      <c r="I65" s="2">
        <v>768</v>
      </c>
      <c r="J65" s="2">
        <v>24</v>
      </c>
      <c r="K65" s="3">
        <v>4320</v>
      </c>
      <c r="L65" s="2">
        <v>486</v>
      </c>
      <c r="M65" s="2">
        <v>13.815899999999999</v>
      </c>
      <c r="N65" s="2">
        <v>13.292299999999999</v>
      </c>
      <c r="O65" s="2">
        <v>0.96209999999999996</v>
      </c>
      <c r="P65" s="2">
        <v>341.53</v>
      </c>
      <c r="Q65" s="2">
        <v>80.05</v>
      </c>
      <c r="R65" s="2">
        <v>110.06</v>
      </c>
      <c r="S65" s="2">
        <v>4.2820999999999998</v>
      </c>
      <c r="T65" s="2">
        <v>0.23350000000000001</v>
      </c>
      <c r="U65" s="2">
        <v>4.2666666666666666</v>
      </c>
      <c r="V65" s="2">
        <v>100.36</v>
      </c>
      <c r="W65" s="2">
        <v>0.89700000000000002</v>
      </c>
      <c r="X65" s="2" t="s">
        <v>195</v>
      </c>
    </row>
    <row r="66" spans="1:24" x14ac:dyDescent="0.35">
      <c r="A66" s="2" t="s">
        <v>37</v>
      </c>
      <c r="B66" s="2" t="s">
        <v>46</v>
      </c>
      <c r="C66" s="2" t="s">
        <v>74</v>
      </c>
      <c r="D66" s="2" t="s">
        <v>75</v>
      </c>
      <c r="E66" s="3">
        <v>2359296</v>
      </c>
      <c r="F66" s="2">
        <v>5</v>
      </c>
      <c r="G66" s="2">
        <v>6</v>
      </c>
      <c r="H66" s="2">
        <v>768</v>
      </c>
      <c r="I66" s="3">
        <v>3072</v>
      </c>
      <c r="J66" s="2">
        <v>96</v>
      </c>
      <c r="K66" s="3">
        <v>4320</v>
      </c>
      <c r="L66" s="2">
        <v>486</v>
      </c>
      <c r="M66" s="2">
        <v>13.8325</v>
      </c>
      <c r="N66" s="2">
        <v>13.292299999999999</v>
      </c>
      <c r="O66" s="2">
        <v>0.96089999999999998</v>
      </c>
      <c r="P66" s="2">
        <v>341.12</v>
      </c>
      <c r="Q66" s="2">
        <v>79.95</v>
      </c>
      <c r="R66" s="2">
        <v>109.93</v>
      </c>
      <c r="S66" s="2">
        <v>4.2831999999999999</v>
      </c>
      <c r="T66" s="2">
        <v>0.23350000000000001</v>
      </c>
      <c r="U66" s="2">
        <v>4.2666666666666666</v>
      </c>
      <c r="V66" s="2">
        <v>100.39</v>
      </c>
      <c r="W66" s="2">
        <v>3.7229999999999999</v>
      </c>
      <c r="X66" s="2" t="s">
        <v>195</v>
      </c>
    </row>
    <row r="67" spans="1:24" x14ac:dyDescent="0.35">
      <c r="A67" s="2" t="s">
        <v>37</v>
      </c>
      <c r="B67" s="2" t="s">
        <v>46</v>
      </c>
      <c r="C67" s="2" t="s">
        <v>76</v>
      </c>
      <c r="D67" s="2" t="s">
        <v>77</v>
      </c>
      <c r="E67" s="3">
        <v>4194304</v>
      </c>
      <c r="F67" s="2">
        <v>6</v>
      </c>
      <c r="G67" s="2">
        <v>6</v>
      </c>
      <c r="H67" s="3">
        <v>4096</v>
      </c>
      <c r="I67" s="3">
        <v>1024</v>
      </c>
      <c r="J67" s="2">
        <v>32</v>
      </c>
      <c r="K67" s="3">
        <v>7680</v>
      </c>
      <c r="L67" s="2">
        <v>274</v>
      </c>
      <c r="M67" s="2">
        <v>24.3049</v>
      </c>
      <c r="N67" s="2">
        <v>23.630800000000001</v>
      </c>
      <c r="O67" s="2">
        <v>0.97230000000000005</v>
      </c>
      <c r="P67" s="2">
        <v>345.14</v>
      </c>
      <c r="Q67" s="2">
        <v>80.89</v>
      </c>
      <c r="R67" s="2">
        <v>111.23</v>
      </c>
      <c r="S67" s="2">
        <v>4.3228</v>
      </c>
      <c r="T67" s="2">
        <v>0.23130000000000001</v>
      </c>
      <c r="U67" s="2">
        <v>4.2666666666666666</v>
      </c>
      <c r="V67" s="2">
        <v>101.32</v>
      </c>
      <c r="W67" s="2">
        <v>0.51</v>
      </c>
      <c r="X67" s="2" t="s">
        <v>195</v>
      </c>
    </row>
    <row r="68" spans="1:24" x14ac:dyDescent="0.35">
      <c r="A68" s="2" t="s">
        <v>37</v>
      </c>
      <c r="B68" s="2" t="s">
        <v>46</v>
      </c>
      <c r="C68" s="2" t="s">
        <v>78</v>
      </c>
      <c r="D68" s="2" t="s">
        <v>79</v>
      </c>
      <c r="E68" s="3">
        <v>4194304</v>
      </c>
      <c r="F68" s="2">
        <v>7</v>
      </c>
      <c r="G68" s="2">
        <v>6</v>
      </c>
      <c r="H68" s="3">
        <v>1024</v>
      </c>
      <c r="I68" s="3">
        <v>4096</v>
      </c>
      <c r="J68" s="2">
        <v>128</v>
      </c>
      <c r="K68" s="3">
        <v>7680</v>
      </c>
      <c r="L68" s="2">
        <v>274</v>
      </c>
      <c r="M68" s="2">
        <v>24.102799999999998</v>
      </c>
      <c r="N68" s="2">
        <v>23.630800000000001</v>
      </c>
      <c r="O68" s="2">
        <v>0.98040000000000005</v>
      </c>
      <c r="P68" s="2">
        <v>348.03</v>
      </c>
      <c r="Q68" s="2">
        <v>81.569999999999993</v>
      </c>
      <c r="R68" s="2">
        <v>112.16</v>
      </c>
      <c r="S68" s="2">
        <v>4.3636999999999997</v>
      </c>
      <c r="T68" s="2">
        <v>0.22919999999999999</v>
      </c>
      <c r="U68" s="2">
        <v>4.2666666666666666</v>
      </c>
      <c r="V68" s="2">
        <v>102.28</v>
      </c>
      <c r="W68" s="2">
        <v>0.78900000000000003</v>
      </c>
      <c r="X68" s="2" t="s">
        <v>195</v>
      </c>
    </row>
    <row r="69" spans="1:24" x14ac:dyDescent="0.35">
      <c r="A69" s="2" t="s">
        <v>37</v>
      </c>
      <c r="B69" s="2" t="s">
        <v>46</v>
      </c>
      <c r="C69" s="2" t="s">
        <v>80</v>
      </c>
      <c r="D69" s="2" t="s">
        <v>81</v>
      </c>
      <c r="E69" s="3">
        <v>4194304</v>
      </c>
      <c r="F69" s="2">
        <v>8</v>
      </c>
      <c r="G69" s="2">
        <v>6</v>
      </c>
      <c r="H69" s="3">
        <v>2048</v>
      </c>
      <c r="I69" s="3">
        <v>2048</v>
      </c>
      <c r="J69" s="2">
        <v>64</v>
      </c>
      <c r="K69" s="3">
        <v>7680</v>
      </c>
      <c r="L69" s="2">
        <v>274</v>
      </c>
      <c r="M69" s="2">
        <v>24.3017</v>
      </c>
      <c r="N69" s="2">
        <v>23.630800000000001</v>
      </c>
      <c r="O69" s="2">
        <v>0.97240000000000004</v>
      </c>
      <c r="P69" s="2">
        <v>345.19</v>
      </c>
      <c r="Q69" s="2">
        <v>80.900000000000006</v>
      </c>
      <c r="R69" s="2">
        <v>111.24</v>
      </c>
      <c r="S69" s="2">
        <v>4.3281000000000001</v>
      </c>
      <c r="T69" s="2">
        <v>0.23100000000000001</v>
      </c>
      <c r="U69" s="2">
        <v>4.2666666666666666</v>
      </c>
      <c r="V69" s="2">
        <v>101.44</v>
      </c>
      <c r="W69" s="2">
        <v>0.89200000000000002</v>
      </c>
      <c r="X69" s="2" t="s">
        <v>195</v>
      </c>
    </row>
    <row r="70" spans="1:24" x14ac:dyDescent="0.35">
      <c r="A70" s="2" t="s">
        <v>37</v>
      </c>
      <c r="B70" s="2" t="s">
        <v>46</v>
      </c>
      <c r="C70" s="2" t="s">
        <v>82</v>
      </c>
      <c r="D70" s="2" t="s">
        <v>83</v>
      </c>
      <c r="E70" s="3">
        <v>16777216</v>
      </c>
      <c r="F70" s="2">
        <v>9</v>
      </c>
      <c r="G70" s="2">
        <v>6</v>
      </c>
      <c r="H70" s="3">
        <v>4096</v>
      </c>
      <c r="I70" s="3">
        <v>4096</v>
      </c>
      <c r="J70" s="2">
        <v>128</v>
      </c>
      <c r="K70" s="3">
        <v>30720</v>
      </c>
      <c r="L70" s="2">
        <v>69</v>
      </c>
      <c r="M70" s="2">
        <v>96.155600000000007</v>
      </c>
      <c r="N70" s="2">
        <v>94.523099999999999</v>
      </c>
      <c r="O70" s="2">
        <v>0.98299999999999998</v>
      </c>
      <c r="P70" s="2">
        <v>348.96</v>
      </c>
      <c r="Q70" s="2">
        <v>81.790000000000006</v>
      </c>
      <c r="R70" s="2">
        <v>112.46</v>
      </c>
      <c r="S70" s="2">
        <v>4.3406000000000002</v>
      </c>
      <c r="T70" s="2">
        <v>0.23039999999999999</v>
      </c>
      <c r="U70" s="2">
        <v>4.2666666666666666</v>
      </c>
      <c r="V70" s="2">
        <v>101.73</v>
      </c>
      <c r="W70" s="2">
        <v>1.248</v>
      </c>
      <c r="X70" s="2" t="s">
        <v>195</v>
      </c>
    </row>
    <row r="71" spans="1:24" x14ac:dyDescent="0.35">
      <c r="A71" s="2" t="s">
        <v>37</v>
      </c>
      <c r="B71" s="2" t="s">
        <v>46</v>
      </c>
      <c r="C71" s="2" t="s">
        <v>84</v>
      </c>
      <c r="D71" s="2" t="s">
        <v>85</v>
      </c>
      <c r="E71" s="3">
        <v>16777216</v>
      </c>
      <c r="F71" s="2">
        <v>10</v>
      </c>
      <c r="G71" s="2">
        <v>6</v>
      </c>
      <c r="H71" s="3">
        <v>8192</v>
      </c>
      <c r="I71" s="3">
        <v>2048</v>
      </c>
      <c r="J71" s="2">
        <v>64</v>
      </c>
      <c r="K71" s="3">
        <v>30720</v>
      </c>
      <c r="L71" s="2">
        <v>69</v>
      </c>
      <c r="M71" s="2">
        <v>97.299400000000006</v>
      </c>
      <c r="N71" s="2">
        <v>94.523099999999999</v>
      </c>
      <c r="O71" s="2">
        <v>0.97150000000000003</v>
      </c>
      <c r="P71" s="2">
        <v>344.86</v>
      </c>
      <c r="Q71" s="2">
        <v>80.83</v>
      </c>
      <c r="R71" s="2">
        <v>111.14</v>
      </c>
      <c r="S71" s="2">
        <v>4.3103999999999996</v>
      </c>
      <c r="T71" s="2">
        <v>0.23200000000000001</v>
      </c>
      <c r="U71" s="2">
        <v>4.2666666666666666</v>
      </c>
      <c r="V71" s="2">
        <v>101.02</v>
      </c>
      <c r="W71" s="2">
        <v>0.86799999999999999</v>
      </c>
      <c r="X71" s="2" t="s">
        <v>195</v>
      </c>
    </row>
    <row r="72" spans="1:24" x14ac:dyDescent="0.35">
      <c r="A72" s="2" t="s">
        <v>37</v>
      </c>
      <c r="B72" s="2" t="s">
        <v>46</v>
      </c>
      <c r="C72" s="2" t="s">
        <v>86</v>
      </c>
      <c r="D72" s="2" t="s">
        <v>87</v>
      </c>
      <c r="E72" s="3">
        <v>16777216</v>
      </c>
      <c r="F72" s="2">
        <v>11</v>
      </c>
      <c r="G72" s="2">
        <v>6</v>
      </c>
      <c r="H72" s="3">
        <v>2048</v>
      </c>
      <c r="I72" s="3">
        <v>8192</v>
      </c>
      <c r="J72" s="2">
        <v>256</v>
      </c>
      <c r="K72" s="3">
        <v>30720</v>
      </c>
      <c r="L72" s="2">
        <v>69</v>
      </c>
      <c r="M72" s="2">
        <v>96.775400000000005</v>
      </c>
      <c r="N72" s="2">
        <v>94.523099999999999</v>
      </c>
      <c r="O72" s="2">
        <v>0.97670000000000001</v>
      </c>
      <c r="P72" s="2">
        <v>346.72</v>
      </c>
      <c r="Q72" s="2">
        <v>81.260000000000005</v>
      </c>
      <c r="R72" s="2">
        <v>111.74</v>
      </c>
      <c r="S72" s="2">
        <v>4.3514999999999997</v>
      </c>
      <c r="T72" s="2">
        <v>0.2298</v>
      </c>
      <c r="U72" s="2">
        <v>4.2666666666666666</v>
      </c>
      <c r="V72" s="2">
        <v>101.99</v>
      </c>
      <c r="W72" s="2">
        <v>1.4370000000000001</v>
      </c>
      <c r="X72" s="2" t="s">
        <v>195</v>
      </c>
    </row>
    <row r="73" spans="1:24" x14ac:dyDescent="0.35">
      <c r="A73" s="2" t="s">
        <v>37</v>
      </c>
      <c r="B73" s="2" t="s">
        <v>46</v>
      </c>
      <c r="C73" s="2" t="s">
        <v>88</v>
      </c>
      <c r="F73" s="2">
        <v>12</v>
      </c>
      <c r="G73" s="2">
        <v>6</v>
      </c>
      <c r="O73" s="2">
        <v>0.97230000000000005</v>
      </c>
      <c r="P73" s="2">
        <v>345.17</v>
      </c>
      <c r="S73" s="2">
        <v>4.3213999999999997</v>
      </c>
      <c r="T73" s="2">
        <v>0.23139999999999999</v>
      </c>
      <c r="U73" s="2">
        <v>4.2666666666666666</v>
      </c>
      <c r="V73" s="2">
        <v>101.28</v>
      </c>
      <c r="X73" s="2" t="s">
        <v>195</v>
      </c>
    </row>
  </sheetData>
  <autoFilter ref="A1:X73" xr:uid="{00000000-0009-0000-0000-000003000000}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BE97-6D78-465E-BC37-B40DC61172BA}">
  <dimension ref="A1:AH7"/>
  <sheetViews>
    <sheetView topLeftCell="T1" zoomScale="25" zoomScaleNormal="25" workbookViewId="0">
      <pane ySplit="1" topLeftCell="A2" activePane="bottomLeft" state="frozen"/>
      <selection pane="bottomLeft" activeCell="P23" sqref="P23"/>
    </sheetView>
  </sheetViews>
  <sheetFormatPr defaultRowHeight="14.5" x14ac:dyDescent="0.35"/>
  <cols>
    <col min="1" max="1" width="10" customWidth="1"/>
    <col min="2" max="2" width="16" customWidth="1"/>
    <col min="3" max="3" width="10" customWidth="1"/>
    <col min="4" max="5" width="21" customWidth="1"/>
    <col min="6" max="7" width="17" customWidth="1"/>
    <col min="8" max="11" width="21" customWidth="1"/>
    <col min="12" max="13" width="27" customWidth="1"/>
    <col min="14" max="15" width="24" customWidth="1"/>
    <col min="16" max="16" width="20" customWidth="1"/>
    <col min="17" max="17" width="21" customWidth="1"/>
    <col min="18" max="18" width="19" customWidth="1"/>
    <col min="19" max="20" width="17" customWidth="1"/>
    <col min="21" max="21" width="20" customWidth="1"/>
    <col min="22" max="22" width="19" customWidth="1"/>
    <col min="23" max="26" width="23" customWidth="1"/>
    <col min="27" max="28" width="28" customWidth="1"/>
    <col min="29" max="30" width="26" customWidth="1"/>
    <col min="31" max="32" width="30" customWidth="1"/>
    <col min="33" max="34" width="13" customWidth="1"/>
  </cols>
  <sheetData>
    <row r="1" spans="1:34" ht="30" customHeight="1" x14ac:dyDescent="0.35">
      <c r="A1" s="1" t="s">
        <v>2</v>
      </c>
      <c r="B1" s="1" t="s">
        <v>3</v>
      </c>
      <c r="C1" s="1" t="s">
        <v>0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232</v>
      </c>
      <c r="AB1" s="1" t="s">
        <v>233</v>
      </c>
      <c r="AC1" s="1" t="s">
        <v>234</v>
      </c>
      <c r="AD1" s="1" t="s">
        <v>235</v>
      </c>
      <c r="AE1" s="1" t="s">
        <v>236</v>
      </c>
      <c r="AF1" s="1" t="s">
        <v>237</v>
      </c>
      <c r="AG1" s="1" t="s">
        <v>238</v>
      </c>
      <c r="AH1" s="1" t="s">
        <v>239</v>
      </c>
    </row>
    <row r="2" spans="1:34" x14ac:dyDescent="0.35">
      <c r="A2" s="2" t="s">
        <v>34</v>
      </c>
      <c r="B2" s="2">
        <v>1</v>
      </c>
      <c r="C2" s="2" t="s">
        <v>34</v>
      </c>
      <c r="D2" s="2">
        <v>7745.5770000000002</v>
      </c>
      <c r="E2" s="2">
        <v>7130.17</v>
      </c>
      <c r="F2" s="2">
        <v>33.844000000000001</v>
      </c>
      <c r="G2" s="2">
        <v>36.765000000000001</v>
      </c>
      <c r="H2" s="2">
        <v>69.31</v>
      </c>
      <c r="I2" s="2">
        <v>75.3</v>
      </c>
      <c r="J2" s="2">
        <v>69.31</v>
      </c>
      <c r="K2" s="2">
        <v>75.3</v>
      </c>
      <c r="L2" s="2">
        <v>1</v>
      </c>
      <c r="M2" s="2">
        <v>1</v>
      </c>
      <c r="N2" s="2">
        <v>0.95920000000000005</v>
      </c>
      <c r="O2" s="2">
        <v>0.96709999999999996</v>
      </c>
      <c r="P2" s="2">
        <v>1.0863</v>
      </c>
      <c r="Q2" s="2">
        <v>1.0832999999999999</v>
      </c>
      <c r="R2" s="2">
        <v>100.27</v>
      </c>
      <c r="S2" s="2">
        <v>35.265000000000001</v>
      </c>
      <c r="T2" s="2">
        <v>38.094000000000001</v>
      </c>
      <c r="U2" s="2">
        <v>1.0802</v>
      </c>
      <c r="V2" s="2">
        <v>99.71</v>
      </c>
      <c r="W2" s="2">
        <v>31.297000000000001</v>
      </c>
      <c r="X2" s="2">
        <v>31.724</v>
      </c>
      <c r="Y2" s="2">
        <v>26.923999999999999</v>
      </c>
      <c r="Z2" s="2">
        <v>27.077000000000002</v>
      </c>
      <c r="AA2" s="2">
        <v>887.48400000000004</v>
      </c>
      <c r="AB2" s="2">
        <v>832.77700000000004</v>
      </c>
      <c r="AC2" s="2">
        <v>1</v>
      </c>
      <c r="AD2" s="2">
        <v>1</v>
      </c>
      <c r="AE2" s="2">
        <v>219.227</v>
      </c>
      <c r="AF2" s="2">
        <v>204.988</v>
      </c>
      <c r="AG2" s="2">
        <v>1</v>
      </c>
      <c r="AH2" s="2">
        <v>1</v>
      </c>
    </row>
    <row r="3" spans="1:34" x14ac:dyDescent="0.35">
      <c r="A3" s="2" t="s">
        <v>38</v>
      </c>
      <c r="B3" s="2">
        <v>2</v>
      </c>
      <c r="C3" s="2" t="s">
        <v>37</v>
      </c>
      <c r="D3" s="2">
        <v>7826.5820000000003</v>
      </c>
      <c r="E3" s="2">
        <v>7306.0619999999999</v>
      </c>
      <c r="F3" s="2">
        <v>66.988</v>
      </c>
      <c r="G3" s="2">
        <v>71.760999999999996</v>
      </c>
      <c r="H3" s="2">
        <v>137.19</v>
      </c>
      <c r="I3" s="2">
        <v>146.97</v>
      </c>
      <c r="J3" s="2">
        <v>68.599999999999994</v>
      </c>
      <c r="K3" s="2">
        <v>73.48</v>
      </c>
      <c r="L3" s="2">
        <v>1.9790000000000001</v>
      </c>
      <c r="M3" s="2">
        <v>1.952</v>
      </c>
      <c r="N3" s="2">
        <v>0.96989999999999998</v>
      </c>
      <c r="O3" s="2">
        <v>0.96499999999999997</v>
      </c>
      <c r="P3" s="2">
        <v>1.0712999999999999</v>
      </c>
      <c r="Q3" s="2">
        <v>1.0832999999999999</v>
      </c>
      <c r="R3" s="2">
        <v>98.88</v>
      </c>
      <c r="S3" s="2">
        <v>69.771000000000001</v>
      </c>
      <c r="T3" s="2">
        <v>75.918999999999997</v>
      </c>
      <c r="U3" s="2">
        <v>1.0881000000000001</v>
      </c>
      <c r="V3" s="2">
        <v>100.44</v>
      </c>
      <c r="W3" s="2">
        <v>35.442</v>
      </c>
      <c r="X3" s="2">
        <v>35.994</v>
      </c>
      <c r="Y3" s="2">
        <v>30.138000000000002</v>
      </c>
      <c r="Z3" s="2">
        <v>30.164999999999999</v>
      </c>
      <c r="AA3" s="2">
        <v>507.97399999999999</v>
      </c>
      <c r="AB3" s="2">
        <v>474.11099999999999</v>
      </c>
      <c r="AC3" s="2">
        <v>1.7471000000000001</v>
      </c>
      <c r="AD3" s="2">
        <v>1.7565</v>
      </c>
      <c r="AE3" s="2">
        <v>111.175</v>
      </c>
      <c r="AF3" s="2">
        <v>104.208</v>
      </c>
      <c r="AG3" s="2">
        <v>2</v>
      </c>
      <c r="AH3" s="2">
        <v>1</v>
      </c>
    </row>
    <row r="4" spans="1:34" x14ac:dyDescent="0.35">
      <c r="A4" s="2" t="s">
        <v>40</v>
      </c>
      <c r="B4" s="2">
        <v>3</v>
      </c>
      <c r="C4" s="2" t="s">
        <v>37</v>
      </c>
      <c r="D4" s="2">
        <v>7849.0990000000002</v>
      </c>
      <c r="E4" s="2">
        <v>7318.1909999999998</v>
      </c>
      <c r="F4" s="2">
        <v>133.59200000000001</v>
      </c>
      <c r="G4" s="2">
        <v>143.28299999999999</v>
      </c>
      <c r="H4" s="2">
        <v>273.60000000000002</v>
      </c>
      <c r="I4" s="2">
        <v>293.44</v>
      </c>
      <c r="J4" s="2">
        <v>68.400000000000006</v>
      </c>
      <c r="K4" s="2">
        <v>73.36</v>
      </c>
      <c r="L4" s="2">
        <v>3.9470000000000001</v>
      </c>
      <c r="M4" s="2">
        <v>3.8969999999999998</v>
      </c>
      <c r="N4" s="2">
        <v>0.96030000000000004</v>
      </c>
      <c r="O4" s="2">
        <v>0.95620000000000005</v>
      </c>
      <c r="P4" s="2">
        <v>1.0725</v>
      </c>
      <c r="Q4" s="2">
        <v>1.0832999999999999</v>
      </c>
      <c r="R4" s="2">
        <v>99</v>
      </c>
      <c r="S4" s="2">
        <v>139.26599999999999</v>
      </c>
      <c r="T4" s="2">
        <v>150.23500000000001</v>
      </c>
      <c r="U4" s="2">
        <v>1.0788</v>
      </c>
      <c r="V4" s="2">
        <v>99.58</v>
      </c>
      <c r="W4" s="2">
        <v>35.326999999999998</v>
      </c>
      <c r="X4" s="2">
        <v>35.451999999999998</v>
      </c>
      <c r="Y4" s="2">
        <v>30.114999999999998</v>
      </c>
      <c r="Z4" s="2">
        <v>30.164000000000001</v>
      </c>
      <c r="AA4" s="2">
        <v>253.666</v>
      </c>
      <c r="AB4" s="2">
        <v>235.97800000000001</v>
      </c>
      <c r="AC4" s="2">
        <v>3.4986000000000002</v>
      </c>
      <c r="AD4" s="2">
        <v>3.5289999999999999</v>
      </c>
      <c r="AE4" s="2">
        <v>56.17</v>
      </c>
      <c r="AF4" s="2">
        <v>52.923999999999999</v>
      </c>
      <c r="AG4" s="2">
        <v>1</v>
      </c>
      <c r="AH4" s="2">
        <v>1</v>
      </c>
    </row>
    <row r="5" spans="1:34" x14ac:dyDescent="0.35">
      <c r="A5" s="2" t="s">
        <v>42</v>
      </c>
      <c r="B5" s="2">
        <v>4</v>
      </c>
      <c r="C5" s="2" t="s">
        <v>37</v>
      </c>
      <c r="D5" s="2">
        <v>7910.9</v>
      </c>
      <c r="E5" s="2">
        <v>7340.9369999999999</v>
      </c>
      <c r="F5" s="2">
        <v>265.096</v>
      </c>
      <c r="G5" s="2">
        <v>285.67899999999997</v>
      </c>
      <c r="H5" s="2">
        <v>542.91999999999996</v>
      </c>
      <c r="I5" s="2">
        <v>585.07000000000005</v>
      </c>
      <c r="J5" s="2">
        <v>67.86</v>
      </c>
      <c r="K5" s="2">
        <v>73.13</v>
      </c>
      <c r="L5" s="2">
        <v>7.8330000000000002</v>
      </c>
      <c r="M5" s="2">
        <v>7.77</v>
      </c>
      <c r="N5" s="2">
        <v>0.95669999999999999</v>
      </c>
      <c r="O5" s="2">
        <v>0.95779999999999998</v>
      </c>
      <c r="P5" s="2">
        <v>1.0775999999999999</v>
      </c>
      <c r="Q5" s="2">
        <v>1.0832999999999999</v>
      </c>
      <c r="R5" s="2">
        <v>99.47</v>
      </c>
      <c r="S5" s="2">
        <v>275.86399999999998</v>
      </c>
      <c r="T5" s="2">
        <v>297.452</v>
      </c>
      <c r="U5" s="2">
        <v>1.0783</v>
      </c>
      <c r="V5" s="2">
        <v>99.53</v>
      </c>
      <c r="W5" s="2">
        <v>35.412999999999997</v>
      </c>
      <c r="X5" s="2">
        <v>36.084000000000003</v>
      </c>
      <c r="Y5" s="2">
        <v>30.225999999999999</v>
      </c>
      <c r="Z5" s="2">
        <v>30.201000000000001</v>
      </c>
      <c r="AA5" s="2">
        <v>128.37100000000001</v>
      </c>
      <c r="AB5" s="2">
        <v>121.31</v>
      </c>
      <c r="AC5" s="2">
        <v>6.9134000000000002</v>
      </c>
      <c r="AD5" s="2">
        <v>6.8648999999999996</v>
      </c>
      <c r="AE5" s="2">
        <v>28.669</v>
      </c>
      <c r="AF5" s="2">
        <v>27.018000000000001</v>
      </c>
      <c r="AG5" s="2">
        <v>1</v>
      </c>
      <c r="AH5" s="2">
        <v>1</v>
      </c>
    </row>
    <row r="6" spans="1:34" x14ac:dyDescent="0.35">
      <c r="A6" s="2" t="s">
        <v>44</v>
      </c>
      <c r="B6" s="2">
        <v>5</v>
      </c>
      <c r="C6" s="2" t="s">
        <v>37</v>
      </c>
      <c r="D6" s="2">
        <v>8005.26</v>
      </c>
      <c r="E6" s="2">
        <v>7511.8879999999999</v>
      </c>
      <c r="F6" s="2">
        <v>523.94399999999996</v>
      </c>
      <c r="G6" s="2">
        <v>558.35500000000002</v>
      </c>
      <c r="H6" s="2">
        <v>1073.04</v>
      </c>
      <c r="I6" s="2">
        <v>1143.51</v>
      </c>
      <c r="J6" s="2">
        <v>67.06</v>
      </c>
      <c r="K6" s="2">
        <v>71.47</v>
      </c>
      <c r="L6" s="2">
        <v>15.481</v>
      </c>
      <c r="M6" s="2">
        <v>15.186999999999999</v>
      </c>
      <c r="N6" s="2">
        <v>0.95499999999999996</v>
      </c>
      <c r="O6" s="2">
        <v>0.94530000000000003</v>
      </c>
      <c r="P6" s="2">
        <v>1.0657000000000001</v>
      </c>
      <c r="Q6" s="2">
        <v>1.0832999999999999</v>
      </c>
      <c r="R6" s="2">
        <v>98.37</v>
      </c>
      <c r="S6" s="2">
        <v>545.41700000000003</v>
      </c>
      <c r="T6" s="2">
        <v>591.37099999999998</v>
      </c>
      <c r="U6" s="2">
        <v>1.0843</v>
      </c>
      <c r="V6" s="2">
        <v>100.09</v>
      </c>
      <c r="W6" s="2">
        <v>35.521000000000001</v>
      </c>
      <c r="X6" s="2">
        <v>36.338000000000001</v>
      </c>
      <c r="Y6" s="2">
        <v>30.138000000000002</v>
      </c>
      <c r="Z6" s="2">
        <v>30.335999999999999</v>
      </c>
      <c r="AA6" s="2">
        <v>65.126000000000005</v>
      </c>
      <c r="AB6" s="2">
        <v>61.447000000000003</v>
      </c>
      <c r="AC6" s="2">
        <v>13.6272</v>
      </c>
      <c r="AD6" s="2">
        <v>13.5528</v>
      </c>
      <c r="AE6" s="2">
        <v>14.494999999999999</v>
      </c>
      <c r="AF6" s="2">
        <v>13.627000000000001</v>
      </c>
      <c r="AG6" s="2">
        <v>1</v>
      </c>
      <c r="AH6" s="2">
        <v>1</v>
      </c>
    </row>
    <row r="7" spans="1:34" x14ac:dyDescent="0.35">
      <c r="A7" s="2" t="s">
        <v>46</v>
      </c>
      <c r="B7" s="2">
        <v>6</v>
      </c>
      <c r="C7" s="2" t="s">
        <v>37</v>
      </c>
      <c r="D7" s="2">
        <v>7444.9059999999999</v>
      </c>
      <c r="E7" s="2">
        <v>6917.7790000000005</v>
      </c>
      <c r="F7" s="2">
        <v>140.845</v>
      </c>
      <c r="G7" s="2">
        <v>151.577</v>
      </c>
      <c r="H7" s="2">
        <v>288.45</v>
      </c>
      <c r="I7" s="2">
        <v>310.43</v>
      </c>
      <c r="J7" s="2">
        <v>67.61</v>
      </c>
      <c r="K7" s="2">
        <v>72.760000000000005</v>
      </c>
      <c r="L7" s="2">
        <v>4.1619999999999999</v>
      </c>
      <c r="M7" s="2">
        <v>4.1230000000000002</v>
      </c>
      <c r="N7" s="2">
        <v>0.96930000000000005</v>
      </c>
      <c r="O7" s="2">
        <v>0.97040000000000004</v>
      </c>
      <c r="P7" s="2">
        <v>1.0762</v>
      </c>
      <c r="Q7" s="2">
        <v>1.0832999999999999</v>
      </c>
      <c r="R7" s="2">
        <v>99.34</v>
      </c>
      <c r="S7" s="2">
        <v>149.13499999999999</v>
      </c>
      <c r="T7" s="2">
        <v>158.93</v>
      </c>
      <c r="U7" s="2">
        <v>1.0657000000000001</v>
      </c>
      <c r="V7" s="2">
        <v>98.37</v>
      </c>
      <c r="W7" s="2">
        <v>35.308999999999997</v>
      </c>
      <c r="X7" s="2">
        <v>35.728999999999999</v>
      </c>
      <c r="Y7" s="2">
        <v>29.852</v>
      </c>
      <c r="Z7" s="2">
        <v>30.259</v>
      </c>
      <c r="AA7" s="2">
        <v>236.75800000000001</v>
      </c>
      <c r="AB7" s="2">
        <v>224.809</v>
      </c>
      <c r="AC7" s="2">
        <v>3.7484999999999999</v>
      </c>
      <c r="AD7" s="2">
        <v>3.7044000000000001</v>
      </c>
      <c r="AE7" s="2">
        <v>51.9</v>
      </c>
      <c r="AF7" s="2">
        <v>50.137</v>
      </c>
      <c r="AG7" s="2">
        <v>1</v>
      </c>
      <c r="AH7" s="2">
        <v>1</v>
      </c>
    </row>
  </sheetData>
  <autoFilter ref="A1:AH7" xr:uid="{00000000-0009-0000-0000-000001000000}"/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3B0A-7DD6-411D-9E44-76914E65B7CE}">
  <dimension ref="A1:V67"/>
  <sheetViews>
    <sheetView zoomScale="40" zoomScaleNormal="40" workbookViewId="0">
      <pane ySplit="1" topLeftCell="A2" activePane="bottomLeft" state="frozen"/>
      <selection pane="bottomLeft" activeCell="J12" sqref="J12"/>
    </sheetView>
  </sheetViews>
  <sheetFormatPr defaultRowHeight="14.5" x14ac:dyDescent="0.35"/>
  <cols>
    <col min="1" max="2" width="10" customWidth="1"/>
    <col min="3" max="3" width="16" customWidth="1"/>
    <col min="4" max="4" width="10" customWidth="1"/>
    <col min="5" max="5" width="13" customWidth="1"/>
    <col min="6" max="6" width="12" customWidth="1"/>
    <col min="7" max="7" width="17" customWidth="1"/>
    <col min="8" max="9" width="10" customWidth="1"/>
    <col min="10" max="10" width="23" customWidth="1"/>
    <col min="11" max="12" width="14" customWidth="1"/>
    <col min="13" max="13" width="17" customWidth="1"/>
    <col min="14" max="14" width="18" customWidth="1"/>
    <col min="15" max="15" width="19" customWidth="1"/>
    <col min="16" max="16" width="17" customWidth="1"/>
    <col min="17" max="18" width="30" customWidth="1"/>
    <col min="19" max="19" width="29" customWidth="1"/>
    <col min="20" max="20" width="12" customWidth="1"/>
    <col min="21" max="21" width="17" customWidth="1"/>
    <col min="22" max="22" width="18" customWidth="1"/>
  </cols>
  <sheetData>
    <row r="1" spans="1:22" ht="30" customHeight="1" x14ac:dyDescent="0.35">
      <c r="A1" s="1" t="s">
        <v>0</v>
      </c>
      <c r="B1" s="1" t="s">
        <v>2</v>
      </c>
      <c r="C1" s="1" t="s">
        <v>3</v>
      </c>
      <c r="D1" s="1" t="s">
        <v>54</v>
      </c>
      <c r="E1" s="1" t="s">
        <v>57</v>
      </c>
      <c r="F1" s="1" t="s">
        <v>55</v>
      </c>
      <c r="G1" s="1" t="s">
        <v>56</v>
      </c>
      <c r="H1" s="1" t="s">
        <v>6</v>
      </c>
      <c r="I1" s="1" t="s">
        <v>7</v>
      </c>
      <c r="J1" s="1" t="s">
        <v>61</v>
      </c>
      <c r="K1" s="1" t="s">
        <v>91</v>
      </c>
      <c r="L1" s="1" t="s">
        <v>92</v>
      </c>
      <c r="M1" s="1" t="s">
        <v>93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18</v>
      </c>
    </row>
    <row r="2" spans="1:22" x14ac:dyDescent="0.35">
      <c r="A2" s="2" t="s">
        <v>34</v>
      </c>
      <c r="B2" s="2" t="s">
        <v>34</v>
      </c>
      <c r="C2" s="2">
        <v>1</v>
      </c>
      <c r="D2" s="2" t="s">
        <v>66</v>
      </c>
      <c r="E2" s="2">
        <v>1</v>
      </c>
      <c r="F2" s="2" t="s">
        <v>67</v>
      </c>
      <c r="G2" s="3">
        <v>262144</v>
      </c>
      <c r="H2" s="2">
        <v>512</v>
      </c>
      <c r="I2" s="2">
        <v>512</v>
      </c>
      <c r="J2" s="2">
        <v>7.0757000000000003</v>
      </c>
      <c r="K2" s="2">
        <v>31.766999999999999</v>
      </c>
      <c r="L2" s="2">
        <v>27.373999999999999</v>
      </c>
      <c r="M2" s="2">
        <v>4.3929999999999998</v>
      </c>
      <c r="N2" s="2">
        <v>193.69</v>
      </c>
      <c r="O2" s="2">
        <v>31.084</v>
      </c>
      <c r="P2" s="2">
        <v>224.774</v>
      </c>
      <c r="Q2" s="2">
        <v>738.87</v>
      </c>
      <c r="R2" s="2">
        <v>118.574</v>
      </c>
      <c r="S2" s="2">
        <v>857.44399999999996</v>
      </c>
      <c r="T2" s="2">
        <v>86.17</v>
      </c>
      <c r="U2" s="2">
        <v>1</v>
      </c>
      <c r="V2" s="2">
        <v>74.099999999999994</v>
      </c>
    </row>
    <row r="3" spans="1:22" x14ac:dyDescent="0.35">
      <c r="A3" s="2" t="s">
        <v>34</v>
      </c>
      <c r="B3" s="2" t="s">
        <v>34</v>
      </c>
      <c r="C3" s="2">
        <v>1</v>
      </c>
      <c r="D3" s="2" t="s">
        <v>68</v>
      </c>
      <c r="E3" s="2">
        <v>2</v>
      </c>
      <c r="F3" s="2" t="s">
        <v>69</v>
      </c>
      <c r="G3" s="3">
        <v>589824</v>
      </c>
      <c r="H3" s="2">
        <v>768</v>
      </c>
      <c r="I3" s="2">
        <v>768</v>
      </c>
      <c r="J3" s="2">
        <v>16.036000000000001</v>
      </c>
      <c r="K3" s="2">
        <v>31.766999999999999</v>
      </c>
      <c r="L3" s="2">
        <v>27.373999999999999</v>
      </c>
      <c r="M3" s="2">
        <v>4.3929999999999998</v>
      </c>
      <c r="N3" s="2">
        <v>438.96899999999999</v>
      </c>
      <c r="O3" s="2">
        <v>70.445999999999998</v>
      </c>
      <c r="P3" s="2">
        <v>509.416</v>
      </c>
      <c r="Q3" s="2">
        <v>744.23800000000006</v>
      </c>
      <c r="R3" s="2">
        <v>119.43600000000001</v>
      </c>
      <c r="S3" s="2">
        <v>863.67399999999998</v>
      </c>
      <c r="T3" s="2">
        <v>86.17</v>
      </c>
      <c r="U3" s="2">
        <v>1</v>
      </c>
      <c r="V3" s="2">
        <v>73.56</v>
      </c>
    </row>
    <row r="4" spans="1:22" x14ac:dyDescent="0.35">
      <c r="A4" s="2" t="s">
        <v>34</v>
      </c>
      <c r="B4" s="2" t="s">
        <v>34</v>
      </c>
      <c r="C4" s="2">
        <v>1</v>
      </c>
      <c r="D4" s="2" t="s">
        <v>70</v>
      </c>
      <c r="E4" s="2">
        <v>3</v>
      </c>
      <c r="F4" s="2" t="s">
        <v>71</v>
      </c>
      <c r="G4" s="3">
        <v>1048576</v>
      </c>
      <c r="H4" s="3">
        <v>1024</v>
      </c>
      <c r="I4" s="3">
        <v>1024</v>
      </c>
      <c r="J4" s="2">
        <v>27.784800000000001</v>
      </c>
      <c r="K4" s="2">
        <v>31.766999999999999</v>
      </c>
      <c r="L4" s="2">
        <v>27.373999999999999</v>
      </c>
      <c r="M4" s="2">
        <v>4.3929999999999998</v>
      </c>
      <c r="N4" s="2">
        <v>760.58100000000002</v>
      </c>
      <c r="O4" s="2">
        <v>122.059</v>
      </c>
      <c r="P4" s="2">
        <v>882.64</v>
      </c>
      <c r="Q4" s="2">
        <v>725.34699999999998</v>
      </c>
      <c r="R4" s="2">
        <v>116.404</v>
      </c>
      <c r="S4" s="2">
        <v>841.75099999999998</v>
      </c>
      <c r="T4" s="2">
        <v>86.17</v>
      </c>
      <c r="U4" s="2">
        <v>1</v>
      </c>
      <c r="V4" s="2">
        <v>75.48</v>
      </c>
    </row>
    <row r="5" spans="1:22" x14ac:dyDescent="0.35">
      <c r="A5" s="2" t="s">
        <v>34</v>
      </c>
      <c r="B5" s="2" t="s">
        <v>34</v>
      </c>
      <c r="C5" s="2">
        <v>1</v>
      </c>
      <c r="D5" s="2" t="s">
        <v>72</v>
      </c>
      <c r="E5" s="2">
        <v>4</v>
      </c>
      <c r="F5" s="2" t="s">
        <v>73</v>
      </c>
      <c r="G5" s="3">
        <v>2359296</v>
      </c>
      <c r="H5" s="3">
        <v>3072</v>
      </c>
      <c r="I5" s="2">
        <v>768</v>
      </c>
      <c r="J5" s="2">
        <v>63.317900000000002</v>
      </c>
      <c r="K5" s="2">
        <v>31.766999999999999</v>
      </c>
      <c r="L5" s="2">
        <v>27.373999999999999</v>
      </c>
      <c r="M5" s="2">
        <v>4.3929999999999998</v>
      </c>
      <c r="N5" s="2">
        <v>1733.2639999999999</v>
      </c>
      <c r="O5" s="2">
        <v>278.15600000000001</v>
      </c>
      <c r="P5" s="2">
        <v>2011.42</v>
      </c>
      <c r="Q5" s="2">
        <v>734.65300000000002</v>
      </c>
      <c r="R5" s="2">
        <v>117.898</v>
      </c>
      <c r="S5" s="2">
        <v>852.55100000000004</v>
      </c>
      <c r="T5" s="2">
        <v>86.17</v>
      </c>
      <c r="U5" s="2">
        <v>1</v>
      </c>
      <c r="V5" s="2">
        <v>74.52</v>
      </c>
    </row>
    <row r="6" spans="1:22" x14ac:dyDescent="0.35">
      <c r="A6" s="2" t="s">
        <v>34</v>
      </c>
      <c r="B6" s="2" t="s">
        <v>34</v>
      </c>
      <c r="C6" s="2">
        <v>1</v>
      </c>
      <c r="D6" s="2" t="s">
        <v>74</v>
      </c>
      <c r="E6" s="2">
        <v>5</v>
      </c>
      <c r="F6" s="2" t="s">
        <v>75</v>
      </c>
      <c r="G6" s="3">
        <v>2359296</v>
      </c>
      <c r="H6" s="2">
        <v>768</v>
      </c>
      <c r="I6" s="3">
        <v>3072</v>
      </c>
      <c r="J6" s="2">
        <v>63.812800000000003</v>
      </c>
      <c r="K6" s="2">
        <v>31.766999999999999</v>
      </c>
      <c r="L6" s="2">
        <v>27.373999999999999</v>
      </c>
      <c r="M6" s="2">
        <v>4.3929999999999998</v>
      </c>
      <c r="N6" s="2">
        <v>1746.8119999999999</v>
      </c>
      <c r="O6" s="2">
        <v>280.33</v>
      </c>
      <c r="P6" s="2">
        <v>2027.1410000000001</v>
      </c>
      <c r="Q6" s="2">
        <v>740.39499999999998</v>
      </c>
      <c r="R6" s="2">
        <v>118.819</v>
      </c>
      <c r="S6" s="2">
        <v>859.21400000000006</v>
      </c>
      <c r="T6" s="2">
        <v>86.17</v>
      </c>
      <c r="U6" s="2">
        <v>1</v>
      </c>
      <c r="V6" s="2">
        <v>73.94</v>
      </c>
    </row>
    <row r="7" spans="1:22" x14ac:dyDescent="0.35">
      <c r="A7" s="2" t="s">
        <v>34</v>
      </c>
      <c r="B7" s="2" t="s">
        <v>34</v>
      </c>
      <c r="C7" s="2">
        <v>1</v>
      </c>
      <c r="D7" s="2" t="s">
        <v>76</v>
      </c>
      <c r="E7" s="2">
        <v>6</v>
      </c>
      <c r="F7" s="2" t="s">
        <v>77</v>
      </c>
      <c r="G7" s="3">
        <v>4194304</v>
      </c>
      <c r="H7" s="3">
        <v>4096</v>
      </c>
      <c r="I7" s="3">
        <v>1024</v>
      </c>
      <c r="J7" s="2">
        <v>113.5937</v>
      </c>
      <c r="K7" s="2">
        <v>31.766999999999999</v>
      </c>
      <c r="L7" s="2">
        <v>27.373999999999999</v>
      </c>
      <c r="M7" s="2">
        <v>4.3929999999999998</v>
      </c>
      <c r="N7" s="2">
        <v>3109.5140000000001</v>
      </c>
      <c r="O7" s="2">
        <v>499.017</v>
      </c>
      <c r="P7" s="2">
        <v>3608.5309999999999</v>
      </c>
      <c r="Q7" s="2">
        <v>741.36599999999999</v>
      </c>
      <c r="R7" s="2">
        <v>118.97499999999999</v>
      </c>
      <c r="S7" s="2">
        <v>860.34100000000001</v>
      </c>
      <c r="T7" s="2">
        <v>86.17</v>
      </c>
      <c r="U7" s="2">
        <v>1</v>
      </c>
      <c r="V7" s="2">
        <v>73.849999999999994</v>
      </c>
    </row>
    <row r="8" spans="1:22" x14ac:dyDescent="0.35">
      <c r="A8" s="2" t="s">
        <v>34</v>
      </c>
      <c r="B8" s="2" t="s">
        <v>34</v>
      </c>
      <c r="C8" s="2">
        <v>1</v>
      </c>
      <c r="D8" s="2" t="s">
        <v>78</v>
      </c>
      <c r="E8" s="2">
        <v>7</v>
      </c>
      <c r="F8" s="2" t="s">
        <v>79</v>
      </c>
      <c r="G8" s="3">
        <v>4194304</v>
      </c>
      <c r="H8" s="3">
        <v>1024</v>
      </c>
      <c r="I8" s="3">
        <v>4096</v>
      </c>
      <c r="J8" s="2">
        <v>113.0586</v>
      </c>
      <c r="K8" s="2">
        <v>31.766999999999999</v>
      </c>
      <c r="L8" s="2">
        <v>27.373999999999999</v>
      </c>
      <c r="M8" s="2">
        <v>4.3929999999999998</v>
      </c>
      <c r="N8" s="2">
        <v>3094.866</v>
      </c>
      <c r="O8" s="2">
        <v>496.666</v>
      </c>
      <c r="P8" s="2">
        <v>3591.5329999999999</v>
      </c>
      <c r="Q8" s="2">
        <v>737.87400000000002</v>
      </c>
      <c r="R8" s="2">
        <v>118.41500000000001</v>
      </c>
      <c r="S8" s="2">
        <v>856.28800000000001</v>
      </c>
      <c r="T8" s="2">
        <v>86.17</v>
      </c>
      <c r="U8" s="2">
        <v>1</v>
      </c>
      <c r="V8" s="2">
        <v>74.2</v>
      </c>
    </row>
    <row r="9" spans="1:22" x14ac:dyDescent="0.35">
      <c r="A9" s="2" t="s">
        <v>34</v>
      </c>
      <c r="B9" s="2" t="s">
        <v>34</v>
      </c>
      <c r="C9" s="2">
        <v>1</v>
      </c>
      <c r="D9" s="2" t="s">
        <v>80</v>
      </c>
      <c r="E9" s="2">
        <v>8</v>
      </c>
      <c r="F9" s="2" t="s">
        <v>81</v>
      </c>
      <c r="G9" s="3">
        <v>4194304</v>
      </c>
      <c r="H9" s="3">
        <v>2048</v>
      </c>
      <c r="I9" s="3">
        <v>2048</v>
      </c>
      <c r="J9" s="2">
        <v>112.6688</v>
      </c>
      <c r="K9" s="2">
        <v>31.766999999999999</v>
      </c>
      <c r="L9" s="2">
        <v>27.373999999999999</v>
      </c>
      <c r="M9" s="2">
        <v>4.3929999999999998</v>
      </c>
      <c r="N9" s="2">
        <v>3084.1959999999999</v>
      </c>
      <c r="O9" s="2">
        <v>494.95400000000001</v>
      </c>
      <c r="P9" s="2">
        <v>3579.15</v>
      </c>
      <c r="Q9" s="2">
        <v>735.33</v>
      </c>
      <c r="R9" s="2">
        <v>118.006</v>
      </c>
      <c r="S9" s="2">
        <v>853.33600000000001</v>
      </c>
      <c r="T9" s="2">
        <v>86.17</v>
      </c>
      <c r="U9" s="2">
        <v>1</v>
      </c>
      <c r="V9" s="2">
        <v>74.45</v>
      </c>
    </row>
    <row r="10" spans="1:22" x14ac:dyDescent="0.35">
      <c r="A10" s="2" t="s">
        <v>34</v>
      </c>
      <c r="B10" s="2" t="s">
        <v>34</v>
      </c>
      <c r="C10" s="2">
        <v>1</v>
      </c>
      <c r="D10" s="2" t="s">
        <v>82</v>
      </c>
      <c r="E10" s="2">
        <v>9</v>
      </c>
      <c r="F10" s="2" t="s">
        <v>83</v>
      </c>
      <c r="G10" s="3">
        <v>16777216</v>
      </c>
      <c r="H10" s="3">
        <v>4096</v>
      </c>
      <c r="I10" s="3">
        <v>4096</v>
      </c>
      <c r="J10" s="2">
        <v>452.42020000000002</v>
      </c>
      <c r="K10" s="2">
        <v>31.766999999999999</v>
      </c>
      <c r="L10" s="2">
        <v>27.373999999999999</v>
      </c>
      <c r="M10" s="2">
        <v>4.3929999999999998</v>
      </c>
      <c r="N10" s="2">
        <v>12384.550999999999</v>
      </c>
      <c r="O10" s="2">
        <v>1987.482</v>
      </c>
      <c r="P10" s="2">
        <v>14372.031999999999</v>
      </c>
      <c r="Q10" s="2">
        <v>738.17700000000002</v>
      </c>
      <c r="R10" s="2">
        <v>118.46299999999999</v>
      </c>
      <c r="S10" s="2">
        <v>856.64</v>
      </c>
      <c r="T10" s="2">
        <v>86.17</v>
      </c>
      <c r="U10" s="2">
        <v>1</v>
      </c>
      <c r="V10" s="2">
        <v>74.17</v>
      </c>
    </row>
    <row r="11" spans="1:22" x14ac:dyDescent="0.35">
      <c r="A11" s="2" t="s">
        <v>34</v>
      </c>
      <c r="B11" s="2" t="s">
        <v>34</v>
      </c>
      <c r="C11" s="2">
        <v>1</v>
      </c>
      <c r="D11" s="2" t="s">
        <v>84</v>
      </c>
      <c r="E11" s="2">
        <v>10</v>
      </c>
      <c r="F11" s="2" t="s">
        <v>85</v>
      </c>
      <c r="G11" s="3">
        <v>16777216</v>
      </c>
      <c r="H11" s="3">
        <v>8192</v>
      </c>
      <c r="I11" s="3">
        <v>2048</v>
      </c>
      <c r="J11" s="2">
        <v>453.9778</v>
      </c>
      <c r="K11" s="2">
        <v>31.766999999999999</v>
      </c>
      <c r="L11" s="2">
        <v>27.373999999999999</v>
      </c>
      <c r="M11" s="2">
        <v>4.3929999999999998</v>
      </c>
      <c r="N11" s="2">
        <v>12427.188</v>
      </c>
      <c r="O11" s="2">
        <v>1994.3240000000001</v>
      </c>
      <c r="P11" s="2">
        <v>14421.513000000001</v>
      </c>
      <c r="Q11" s="2">
        <v>740.71799999999996</v>
      </c>
      <c r="R11" s="2">
        <v>118.871</v>
      </c>
      <c r="S11" s="2">
        <v>859.58900000000006</v>
      </c>
      <c r="T11" s="2">
        <v>86.17</v>
      </c>
      <c r="U11" s="2">
        <v>1</v>
      </c>
      <c r="V11" s="2">
        <v>73.91</v>
      </c>
    </row>
    <row r="12" spans="1:22" x14ac:dyDescent="0.35">
      <c r="A12" s="2" t="s">
        <v>34</v>
      </c>
      <c r="B12" s="2" t="s">
        <v>34</v>
      </c>
      <c r="C12" s="2">
        <v>1</v>
      </c>
      <c r="D12" s="2" t="s">
        <v>86</v>
      </c>
      <c r="E12" s="2">
        <v>11</v>
      </c>
      <c r="F12" s="2" t="s">
        <v>87</v>
      </c>
      <c r="G12" s="3">
        <v>16777216</v>
      </c>
      <c r="H12" s="3">
        <v>2048</v>
      </c>
      <c r="I12" s="3">
        <v>8192</v>
      </c>
      <c r="J12" s="2">
        <v>454.70249999999999</v>
      </c>
      <c r="K12" s="2">
        <v>31.766999999999999</v>
      </c>
      <c r="L12" s="2">
        <v>27.373999999999999</v>
      </c>
      <c r="M12" s="2">
        <v>4.3929999999999998</v>
      </c>
      <c r="N12" s="2">
        <v>12447.026</v>
      </c>
      <c r="O12" s="2">
        <v>1997.508</v>
      </c>
      <c r="P12" s="2">
        <v>14444.534</v>
      </c>
      <c r="Q12" s="2">
        <v>741.90099999999995</v>
      </c>
      <c r="R12" s="2">
        <v>119.06100000000001</v>
      </c>
      <c r="S12" s="2">
        <v>860.96100000000001</v>
      </c>
      <c r="T12" s="2">
        <v>86.17</v>
      </c>
      <c r="U12" s="2">
        <v>1</v>
      </c>
      <c r="V12" s="2">
        <v>73.790000000000006</v>
      </c>
    </row>
    <row r="13" spans="1:22" x14ac:dyDescent="0.35">
      <c r="A13" s="2" t="s">
        <v>37</v>
      </c>
      <c r="B13" s="2" t="s">
        <v>38</v>
      </c>
      <c r="C13" s="2">
        <v>2</v>
      </c>
      <c r="D13" s="2" t="s">
        <v>66</v>
      </c>
      <c r="E13" s="2">
        <v>1</v>
      </c>
      <c r="F13" s="2" t="s">
        <v>67</v>
      </c>
      <c r="G13" s="3">
        <v>262144</v>
      </c>
      <c r="H13" s="2">
        <v>512</v>
      </c>
      <c r="I13" s="2">
        <v>512</v>
      </c>
      <c r="J13" s="2">
        <v>3.5337999999999998</v>
      </c>
      <c r="K13" s="2">
        <v>35.912999999999997</v>
      </c>
      <c r="L13" s="2">
        <v>30.756</v>
      </c>
      <c r="M13" s="2">
        <v>5.157</v>
      </c>
      <c r="N13" s="2">
        <v>108.68600000000001</v>
      </c>
      <c r="O13" s="2">
        <v>18.224</v>
      </c>
      <c r="P13" s="2">
        <v>126.90900000000001</v>
      </c>
      <c r="Q13" s="2">
        <v>414.60199999999998</v>
      </c>
      <c r="R13" s="2">
        <v>69.518000000000001</v>
      </c>
      <c r="S13" s="2">
        <v>484.12099999999998</v>
      </c>
      <c r="T13" s="2">
        <v>85.64</v>
      </c>
      <c r="U13" s="2">
        <v>1.7710999999999999</v>
      </c>
      <c r="V13" s="2">
        <v>148.36000000000001</v>
      </c>
    </row>
    <row r="14" spans="1:22" x14ac:dyDescent="0.35">
      <c r="A14" s="2" t="s">
        <v>37</v>
      </c>
      <c r="B14" s="2" t="s">
        <v>38</v>
      </c>
      <c r="C14" s="2">
        <v>2</v>
      </c>
      <c r="D14" s="2" t="s">
        <v>68</v>
      </c>
      <c r="E14" s="2">
        <v>2</v>
      </c>
      <c r="F14" s="2" t="s">
        <v>69</v>
      </c>
      <c r="G14" s="3">
        <v>589824</v>
      </c>
      <c r="H14" s="2">
        <v>768</v>
      </c>
      <c r="I14" s="2">
        <v>768</v>
      </c>
      <c r="J14" s="2">
        <v>7.8966000000000003</v>
      </c>
      <c r="K14" s="2">
        <v>35.912999999999997</v>
      </c>
      <c r="L14" s="2">
        <v>30.756</v>
      </c>
      <c r="M14" s="2">
        <v>5.157</v>
      </c>
      <c r="N14" s="2">
        <v>242.86799999999999</v>
      </c>
      <c r="O14" s="2">
        <v>40.722999999999999</v>
      </c>
      <c r="P14" s="2">
        <v>283.59100000000001</v>
      </c>
      <c r="Q14" s="2">
        <v>411.76299999999998</v>
      </c>
      <c r="R14" s="2">
        <v>69.042000000000002</v>
      </c>
      <c r="S14" s="2">
        <v>480.80500000000001</v>
      </c>
      <c r="T14" s="2">
        <v>85.64</v>
      </c>
      <c r="U14" s="2">
        <v>1.7963</v>
      </c>
      <c r="V14" s="2">
        <v>149.38999999999999</v>
      </c>
    </row>
    <row r="15" spans="1:22" x14ac:dyDescent="0.35">
      <c r="A15" s="2" t="s">
        <v>37</v>
      </c>
      <c r="B15" s="2" t="s">
        <v>38</v>
      </c>
      <c r="C15" s="2">
        <v>2</v>
      </c>
      <c r="D15" s="2" t="s">
        <v>70</v>
      </c>
      <c r="E15" s="2">
        <v>3</v>
      </c>
      <c r="F15" s="2" t="s">
        <v>71</v>
      </c>
      <c r="G15" s="3">
        <v>1048576</v>
      </c>
      <c r="H15" s="3">
        <v>1024</v>
      </c>
      <c r="I15" s="3">
        <v>1024</v>
      </c>
      <c r="J15" s="2">
        <v>14.2399</v>
      </c>
      <c r="K15" s="2">
        <v>35.912999999999997</v>
      </c>
      <c r="L15" s="2">
        <v>30.756</v>
      </c>
      <c r="M15" s="2">
        <v>5.157</v>
      </c>
      <c r="N15" s="2">
        <v>437.96199999999999</v>
      </c>
      <c r="O15" s="2">
        <v>73.435000000000002</v>
      </c>
      <c r="P15" s="2">
        <v>511.39800000000002</v>
      </c>
      <c r="Q15" s="2">
        <v>417.673</v>
      </c>
      <c r="R15" s="2">
        <v>70.033000000000001</v>
      </c>
      <c r="S15" s="2">
        <v>487.70699999999999</v>
      </c>
      <c r="T15" s="2">
        <v>85.64</v>
      </c>
      <c r="U15" s="2">
        <v>1.7259</v>
      </c>
      <c r="V15" s="2">
        <v>147.27000000000001</v>
      </c>
    </row>
    <row r="16" spans="1:22" x14ac:dyDescent="0.35">
      <c r="A16" s="2" t="s">
        <v>37</v>
      </c>
      <c r="B16" s="2" t="s">
        <v>38</v>
      </c>
      <c r="C16" s="2">
        <v>2</v>
      </c>
      <c r="D16" s="2" t="s">
        <v>72</v>
      </c>
      <c r="E16" s="2">
        <v>4</v>
      </c>
      <c r="F16" s="2" t="s">
        <v>73</v>
      </c>
      <c r="G16" s="3">
        <v>2359296</v>
      </c>
      <c r="H16" s="3">
        <v>3072</v>
      </c>
      <c r="I16" s="2">
        <v>768</v>
      </c>
      <c r="J16" s="2">
        <v>31.994599999999998</v>
      </c>
      <c r="K16" s="2">
        <v>35.912999999999997</v>
      </c>
      <c r="L16" s="2">
        <v>30.756</v>
      </c>
      <c r="M16" s="2">
        <v>5.157</v>
      </c>
      <c r="N16" s="2">
        <v>984.02599999999995</v>
      </c>
      <c r="O16" s="2">
        <v>164.99600000000001</v>
      </c>
      <c r="P16" s="2">
        <v>1149.0219999999999</v>
      </c>
      <c r="Q16" s="2">
        <v>417.08499999999998</v>
      </c>
      <c r="R16" s="2">
        <v>69.933999999999997</v>
      </c>
      <c r="S16" s="2">
        <v>487.01900000000001</v>
      </c>
      <c r="T16" s="2">
        <v>85.64</v>
      </c>
      <c r="U16" s="2">
        <v>1.7504999999999999</v>
      </c>
      <c r="V16" s="2">
        <v>147.47999999999999</v>
      </c>
    </row>
    <row r="17" spans="1:22" x14ac:dyDescent="0.35">
      <c r="A17" s="2" t="s">
        <v>37</v>
      </c>
      <c r="B17" s="2" t="s">
        <v>38</v>
      </c>
      <c r="C17" s="2">
        <v>2</v>
      </c>
      <c r="D17" s="2" t="s">
        <v>74</v>
      </c>
      <c r="E17" s="2">
        <v>5</v>
      </c>
      <c r="F17" s="2" t="s">
        <v>75</v>
      </c>
      <c r="G17" s="3">
        <v>2359296</v>
      </c>
      <c r="H17" s="2">
        <v>768</v>
      </c>
      <c r="I17" s="3">
        <v>3072</v>
      </c>
      <c r="J17" s="2">
        <v>31.870200000000001</v>
      </c>
      <c r="K17" s="2">
        <v>35.912999999999997</v>
      </c>
      <c r="L17" s="2">
        <v>30.756</v>
      </c>
      <c r="M17" s="2">
        <v>5.157</v>
      </c>
      <c r="N17" s="2">
        <v>980.2</v>
      </c>
      <c r="O17" s="2">
        <v>164.35499999999999</v>
      </c>
      <c r="P17" s="2">
        <v>1144.5540000000001</v>
      </c>
      <c r="Q17" s="2">
        <v>415.46300000000002</v>
      </c>
      <c r="R17" s="2">
        <v>69.662999999999997</v>
      </c>
      <c r="S17" s="2">
        <v>485.125</v>
      </c>
      <c r="T17" s="2">
        <v>85.64</v>
      </c>
      <c r="U17" s="2">
        <v>1.7710999999999999</v>
      </c>
      <c r="V17" s="2">
        <v>148.06</v>
      </c>
    </row>
    <row r="18" spans="1:22" x14ac:dyDescent="0.35">
      <c r="A18" s="2" t="s">
        <v>37</v>
      </c>
      <c r="B18" s="2" t="s">
        <v>38</v>
      </c>
      <c r="C18" s="2">
        <v>2</v>
      </c>
      <c r="D18" s="2" t="s">
        <v>76</v>
      </c>
      <c r="E18" s="2">
        <v>6</v>
      </c>
      <c r="F18" s="2" t="s">
        <v>77</v>
      </c>
      <c r="G18" s="3">
        <v>4194304</v>
      </c>
      <c r="H18" s="3">
        <v>4096</v>
      </c>
      <c r="I18" s="3">
        <v>1024</v>
      </c>
      <c r="J18" s="2">
        <v>56.248699999999999</v>
      </c>
      <c r="K18" s="2">
        <v>35.912999999999997</v>
      </c>
      <c r="L18" s="2">
        <v>30.756</v>
      </c>
      <c r="M18" s="2">
        <v>5.157</v>
      </c>
      <c r="N18" s="2">
        <v>1729.9849999999999</v>
      </c>
      <c r="O18" s="2">
        <v>290.07499999999999</v>
      </c>
      <c r="P18" s="2">
        <v>2020.06</v>
      </c>
      <c r="Q18" s="2">
        <v>412.46100000000001</v>
      </c>
      <c r="R18" s="2">
        <v>69.159000000000006</v>
      </c>
      <c r="S18" s="2">
        <v>481.62</v>
      </c>
      <c r="T18" s="2">
        <v>85.64</v>
      </c>
      <c r="U18" s="2">
        <v>1.7863</v>
      </c>
      <c r="V18" s="2">
        <v>149.13</v>
      </c>
    </row>
    <row r="19" spans="1:22" x14ac:dyDescent="0.35">
      <c r="A19" s="2" t="s">
        <v>37</v>
      </c>
      <c r="B19" s="2" t="s">
        <v>38</v>
      </c>
      <c r="C19" s="2">
        <v>2</v>
      </c>
      <c r="D19" s="2" t="s">
        <v>78</v>
      </c>
      <c r="E19" s="2">
        <v>7</v>
      </c>
      <c r="F19" s="2" t="s">
        <v>79</v>
      </c>
      <c r="G19" s="3">
        <v>4194304</v>
      </c>
      <c r="H19" s="3">
        <v>1024</v>
      </c>
      <c r="I19" s="3">
        <v>4096</v>
      </c>
      <c r="J19" s="2">
        <v>56.590200000000003</v>
      </c>
      <c r="K19" s="2">
        <v>35.912999999999997</v>
      </c>
      <c r="L19" s="2">
        <v>30.756</v>
      </c>
      <c r="M19" s="2">
        <v>5.157</v>
      </c>
      <c r="N19" s="2">
        <v>1740.4880000000001</v>
      </c>
      <c r="O19" s="2">
        <v>291.83600000000001</v>
      </c>
      <c r="P19" s="2">
        <v>2032.3240000000001</v>
      </c>
      <c r="Q19" s="2">
        <v>414.96499999999997</v>
      </c>
      <c r="R19" s="2">
        <v>69.578999999999994</v>
      </c>
      <c r="S19" s="2">
        <v>484.54399999999998</v>
      </c>
      <c r="T19" s="2">
        <v>85.64</v>
      </c>
      <c r="U19" s="2">
        <v>1.7672000000000001</v>
      </c>
      <c r="V19" s="2">
        <v>148.22999999999999</v>
      </c>
    </row>
    <row r="20" spans="1:22" x14ac:dyDescent="0.35">
      <c r="A20" s="2" t="s">
        <v>37</v>
      </c>
      <c r="B20" s="2" t="s">
        <v>38</v>
      </c>
      <c r="C20" s="2">
        <v>2</v>
      </c>
      <c r="D20" s="2" t="s">
        <v>80</v>
      </c>
      <c r="E20" s="2">
        <v>8</v>
      </c>
      <c r="F20" s="2" t="s">
        <v>81</v>
      </c>
      <c r="G20" s="3">
        <v>4194304</v>
      </c>
      <c r="H20" s="3">
        <v>2048</v>
      </c>
      <c r="I20" s="3">
        <v>2048</v>
      </c>
      <c r="J20" s="2">
        <v>57.058</v>
      </c>
      <c r="K20" s="2">
        <v>35.912999999999997</v>
      </c>
      <c r="L20" s="2">
        <v>30.756</v>
      </c>
      <c r="M20" s="2">
        <v>5.157</v>
      </c>
      <c r="N20" s="2">
        <v>1754.876</v>
      </c>
      <c r="O20" s="2">
        <v>294.24799999999999</v>
      </c>
      <c r="P20" s="2">
        <v>2049.1239999999998</v>
      </c>
      <c r="Q20" s="2">
        <v>418.39499999999998</v>
      </c>
      <c r="R20" s="2">
        <v>70.153999999999996</v>
      </c>
      <c r="S20" s="2">
        <v>488.54899999999998</v>
      </c>
      <c r="T20" s="2">
        <v>85.64</v>
      </c>
      <c r="U20" s="2">
        <v>1.7466999999999999</v>
      </c>
      <c r="V20" s="2">
        <v>147.02000000000001</v>
      </c>
    </row>
    <row r="21" spans="1:22" x14ac:dyDescent="0.35">
      <c r="A21" s="2" t="s">
        <v>37</v>
      </c>
      <c r="B21" s="2" t="s">
        <v>38</v>
      </c>
      <c r="C21" s="2">
        <v>2</v>
      </c>
      <c r="D21" s="2" t="s">
        <v>82</v>
      </c>
      <c r="E21" s="2">
        <v>9</v>
      </c>
      <c r="F21" s="2" t="s">
        <v>83</v>
      </c>
      <c r="G21" s="3">
        <v>16777216</v>
      </c>
      <c r="H21" s="3">
        <v>4096</v>
      </c>
      <c r="I21" s="3">
        <v>4096</v>
      </c>
      <c r="J21" s="2">
        <v>223.9066</v>
      </c>
      <c r="K21" s="2">
        <v>35.912999999999997</v>
      </c>
      <c r="L21" s="2">
        <v>30.756</v>
      </c>
      <c r="M21" s="2">
        <v>5.157</v>
      </c>
      <c r="N21" s="2">
        <v>6886.4709999999995</v>
      </c>
      <c r="O21" s="2">
        <v>1154.6859999999999</v>
      </c>
      <c r="P21" s="2">
        <v>8041.1580000000004</v>
      </c>
      <c r="Q21" s="2">
        <v>410.46600000000001</v>
      </c>
      <c r="R21" s="2">
        <v>68.825000000000003</v>
      </c>
      <c r="S21" s="2">
        <v>479.29</v>
      </c>
      <c r="T21" s="2">
        <v>85.64</v>
      </c>
      <c r="U21" s="2">
        <v>1.7873000000000001</v>
      </c>
      <c r="V21" s="2">
        <v>149.86000000000001</v>
      </c>
    </row>
    <row r="22" spans="1:22" x14ac:dyDescent="0.35">
      <c r="A22" s="2" t="s">
        <v>37</v>
      </c>
      <c r="B22" s="2" t="s">
        <v>38</v>
      </c>
      <c r="C22" s="2">
        <v>2</v>
      </c>
      <c r="D22" s="2" t="s">
        <v>84</v>
      </c>
      <c r="E22" s="2">
        <v>10</v>
      </c>
      <c r="F22" s="2" t="s">
        <v>85</v>
      </c>
      <c r="G22" s="3">
        <v>16777216</v>
      </c>
      <c r="H22" s="3">
        <v>8192</v>
      </c>
      <c r="I22" s="3">
        <v>2048</v>
      </c>
      <c r="J22" s="2">
        <v>226.73570000000001</v>
      </c>
      <c r="K22" s="2">
        <v>35.912999999999997</v>
      </c>
      <c r="L22" s="2">
        <v>30.756</v>
      </c>
      <c r="M22" s="2">
        <v>5.157</v>
      </c>
      <c r="N22" s="2">
        <v>6973.4830000000002</v>
      </c>
      <c r="O22" s="2">
        <v>1169.2760000000001</v>
      </c>
      <c r="P22" s="2">
        <v>8142.759</v>
      </c>
      <c r="Q22" s="2">
        <v>415.65199999999999</v>
      </c>
      <c r="R22" s="2">
        <v>69.694000000000003</v>
      </c>
      <c r="S22" s="2">
        <v>485.346</v>
      </c>
      <c r="T22" s="2">
        <v>85.64</v>
      </c>
      <c r="U22" s="2">
        <v>1.7710999999999999</v>
      </c>
      <c r="V22" s="2">
        <v>147.99</v>
      </c>
    </row>
    <row r="23" spans="1:22" x14ac:dyDescent="0.35">
      <c r="A23" s="2" t="s">
        <v>37</v>
      </c>
      <c r="B23" s="2" t="s">
        <v>38</v>
      </c>
      <c r="C23" s="2">
        <v>2</v>
      </c>
      <c r="D23" s="2" t="s">
        <v>86</v>
      </c>
      <c r="E23" s="2">
        <v>11</v>
      </c>
      <c r="F23" s="2" t="s">
        <v>87</v>
      </c>
      <c r="G23" s="3">
        <v>16777216</v>
      </c>
      <c r="H23" s="3">
        <v>2048</v>
      </c>
      <c r="I23" s="3">
        <v>8192</v>
      </c>
      <c r="J23" s="2">
        <v>225.10550000000001</v>
      </c>
      <c r="K23" s="2">
        <v>35.912999999999997</v>
      </c>
      <c r="L23" s="2">
        <v>30.756</v>
      </c>
      <c r="M23" s="2">
        <v>5.157</v>
      </c>
      <c r="N23" s="2">
        <v>6923.3450000000003</v>
      </c>
      <c r="O23" s="2">
        <v>1160.8689999999999</v>
      </c>
      <c r="P23" s="2">
        <v>8084.2139999999999</v>
      </c>
      <c r="Q23" s="2">
        <v>412.66399999999999</v>
      </c>
      <c r="R23" s="2">
        <v>69.192999999999998</v>
      </c>
      <c r="S23" s="2">
        <v>481.85700000000003</v>
      </c>
      <c r="T23" s="2">
        <v>85.64</v>
      </c>
      <c r="U23" s="2">
        <v>1.7867999999999999</v>
      </c>
      <c r="V23" s="2">
        <v>149.06</v>
      </c>
    </row>
    <row r="24" spans="1:22" x14ac:dyDescent="0.35">
      <c r="A24" s="2" t="s">
        <v>37</v>
      </c>
      <c r="B24" s="2" t="s">
        <v>40</v>
      </c>
      <c r="C24" s="2">
        <v>3</v>
      </c>
      <c r="D24" s="2" t="s">
        <v>66</v>
      </c>
      <c r="E24" s="2">
        <v>1</v>
      </c>
      <c r="F24" s="2" t="s">
        <v>67</v>
      </c>
      <c r="G24" s="3">
        <v>262144</v>
      </c>
      <c r="H24" s="2">
        <v>512</v>
      </c>
      <c r="I24" s="2">
        <v>512</v>
      </c>
      <c r="J24" s="2">
        <v>1.8181</v>
      </c>
      <c r="K24" s="2">
        <v>35.901000000000003</v>
      </c>
      <c r="L24" s="2">
        <v>30.585999999999999</v>
      </c>
      <c r="M24" s="2">
        <v>5.3150000000000004</v>
      </c>
      <c r="N24" s="2">
        <v>55.607999999999997</v>
      </c>
      <c r="O24" s="2">
        <v>9.6630000000000003</v>
      </c>
      <c r="P24" s="2">
        <v>65.272000000000006</v>
      </c>
      <c r="Q24" s="2">
        <v>212.12899999999999</v>
      </c>
      <c r="R24" s="2">
        <v>36.862000000000002</v>
      </c>
      <c r="S24" s="2">
        <v>248.99100000000001</v>
      </c>
      <c r="T24" s="2">
        <v>85.2</v>
      </c>
      <c r="U24" s="2">
        <v>3.4437000000000002</v>
      </c>
      <c r="V24" s="2">
        <v>288.37</v>
      </c>
    </row>
    <row r="25" spans="1:22" x14ac:dyDescent="0.35">
      <c r="A25" s="2" t="s">
        <v>37</v>
      </c>
      <c r="B25" s="2" t="s">
        <v>40</v>
      </c>
      <c r="C25" s="2">
        <v>3</v>
      </c>
      <c r="D25" s="2" t="s">
        <v>68</v>
      </c>
      <c r="E25" s="2">
        <v>2</v>
      </c>
      <c r="F25" s="2" t="s">
        <v>69</v>
      </c>
      <c r="G25" s="3">
        <v>589824</v>
      </c>
      <c r="H25" s="2">
        <v>768</v>
      </c>
      <c r="I25" s="2">
        <v>768</v>
      </c>
      <c r="J25" s="2">
        <v>4.0381</v>
      </c>
      <c r="K25" s="2">
        <v>35.901000000000003</v>
      </c>
      <c r="L25" s="2">
        <v>30.585999999999999</v>
      </c>
      <c r="M25" s="2">
        <v>5.3150000000000004</v>
      </c>
      <c r="N25" s="2">
        <v>123.509</v>
      </c>
      <c r="O25" s="2">
        <v>21.463000000000001</v>
      </c>
      <c r="P25" s="2">
        <v>144.97200000000001</v>
      </c>
      <c r="Q25" s="2">
        <v>209.4</v>
      </c>
      <c r="R25" s="2">
        <v>36.387999999999998</v>
      </c>
      <c r="S25" s="2">
        <v>245.78800000000001</v>
      </c>
      <c r="T25" s="2">
        <v>85.2</v>
      </c>
      <c r="U25" s="2">
        <v>3.5139</v>
      </c>
      <c r="V25" s="2">
        <v>292.13</v>
      </c>
    </row>
    <row r="26" spans="1:22" x14ac:dyDescent="0.35">
      <c r="A26" s="2" t="s">
        <v>37</v>
      </c>
      <c r="B26" s="2" t="s">
        <v>40</v>
      </c>
      <c r="C26" s="2">
        <v>3</v>
      </c>
      <c r="D26" s="2" t="s">
        <v>70</v>
      </c>
      <c r="E26" s="2">
        <v>3</v>
      </c>
      <c r="F26" s="2" t="s">
        <v>71</v>
      </c>
      <c r="G26" s="3">
        <v>1048576</v>
      </c>
      <c r="H26" s="3">
        <v>1024</v>
      </c>
      <c r="I26" s="3">
        <v>1024</v>
      </c>
      <c r="J26" s="2">
        <v>7.1749999999999998</v>
      </c>
      <c r="K26" s="2">
        <v>35.901000000000003</v>
      </c>
      <c r="L26" s="2">
        <v>30.585999999999999</v>
      </c>
      <c r="M26" s="2">
        <v>5.3150000000000004</v>
      </c>
      <c r="N26" s="2">
        <v>219.45500000000001</v>
      </c>
      <c r="O26" s="2">
        <v>38.134999999999998</v>
      </c>
      <c r="P26" s="2">
        <v>257.58999999999997</v>
      </c>
      <c r="Q26" s="2">
        <v>209.28800000000001</v>
      </c>
      <c r="R26" s="2">
        <v>36.368000000000002</v>
      </c>
      <c r="S26" s="2">
        <v>245.65700000000001</v>
      </c>
      <c r="T26" s="2">
        <v>85.2</v>
      </c>
      <c r="U26" s="2">
        <v>3.4264999999999999</v>
      </c>
      <c r="V26" s="2">
        <v>292.27999999999997</v>
      </c>
    </row>
    <row r="27" spans="1:22" x14ac:dyDescent="0.35">
      <c r="A27" s="2" t="s">
        <v>37</v>
      </c>
      <c r="B27" s="2" t="s">
        <v>40</v>
      </c>
      <c r="C27" s="2">
        <v>3</v>
      </c>
      <c r="D27" s="2" t="s">
        <v>72</v>
      </c>
      <c r="E27" s="2">
        <v>4</v>
      </c>
      <c r="F27" s="2" t="s">
        <v>73</v>
      </c>
      <c r="G27" s="3">
        <v>2359296</v>
      </c>
      <c r="H27" s="3">
        <v>3072</v>
      </c>
      <c r="I27" s="2">
        <v>768</v>
      </c>
      <c r="J27" s="2">
        <v>16.0976</v>
      </c>
      <c r="K27" s="2">
        <v>35.901000000000003</v>
      </c>
      <c r="L27" s="2">
        <v>30.585999999999999</v>
      </c>
      <c r="M27" s="2">
        <v>5.3150000000000004</v>
      </c>
      <c r="N27" s="2">
        <v>492.36099999999999</v>
      </c>
      <c r="O27" s="2">
        <v>85.558999999999997</v>
      </c>
      <c r="P27" s="2">
        <v>577.91999999999996</v>
      </c>
      <c r="Q27" s="2">
        <v>208.69</v>
      </c>
      <c r="R27" s="2">
        <v>36.265000000000001</v>
      </c>
      <c r="S27" s="2">
        <v>244.95400000000001</v>
      </c>
      <c r="T27" s="2">
        <v>85.2</v>
      </c>
      <c r="U27" s="2">
        <v>3.4803999999999999</v>
      </c>
      <c r="V27" s="2">
        <v>293.12</v>
      </c>
    </row>
    <row r="28" spans="1:22" x14ac:dyDescent="0.35">
      <c r="A28" s="2" t="s">
        <v>37</v>
      </c>
      <c r="B28" s="2" t="s">
        <v>40</v>
      </c>
      <c r="C28" s="2">
        <v>3</v>
      </c>
      <c r="D28" s="2" t="s">
        <v>74</v>
      </c>
      <c r="E28" s="2">
        <v>5</v>
      </c>
      <c r="F28" s="2" t="s">
        <v>75</v>
      </c>
      <c r="G28" s="3">
        <v>2359296</v>
      </c>
      <c r="H28" s="2">
        <v>768</v>
      </c>
      <c r="I28" s="3">
        <v>3072</v>
      </c>
      <c r="J28" s="2">
        <v>15.924300000000001</v>
      </c>
      <c r="K28" s="2">
        <v>35.901000000000003</v>
      </c>
      <c r="L28" s="2">
        <v>30.585999999999999</v>
      </c>
      <c r="M28" s="2">
        <v>5.3150000000000004</v>
      </c>
      <c r="N28" s="2">
        <v>487.06099999999998</v>
      </c>
      <c r="O28" s="2">
        <v>84.638000000000005</v>
      </c>
      <c r="P28" s="2">
        <v>571.69799999999998</v>
      </c>
      <c r="Q28" s="2">
        <v>206.44300000000001</v>
      </c>
      <c r="R28" s="2">
        <v>35.874000000000002</v>
      </c>
      <c r="S28" s="2">
        <v>242.31700000000001</v>
      </c>
      <c r="T28" s="2">
        <v>85.2</v>
      </c>
      <c r="U28" s="2">
        <v>3.5457999999999998</v>
      </c>
      <c r="V28" s="2">
        <v>296.31</v>
      </c>
    </row>
    <row r="29" spans="1:22" x14ac:dyDescent="0.35">
      <c r="A29" s="2" t="s">
        <v>37</v>
      </c>
      <c r="B29" s="2" t="s">
        <v>40</v>
      </c>
      <c r="C29" s="2">
        <v>3</v>
      </c>
      <c r="D29" s="2" t="s">
        <v>76</v>
      </c>
      <c r="E29" s="2">
        <v>6</v>
      </c>
      <c r="F29" s="2" t="s">
        <v>77</v>
      </c>
      <c r="G29" s="3">
        <v>4194304</v>
      </c>
      <c r="H29" s="3">
        <v>4096</v>
      </c>
      <c r="I29" s="3">
        <v>1024</v>
      </c>
      <c r="J29" s="2">
        <v>28.4773</v>
      </c>
      <c r="K29" s="2">
        <v>35.901000000000003</v>
      </c>
      <c r="L29" s="2">
        <v>30.585999999999999</v>
      </c>
      <c r="M29" s="2">
        <v>5.3150000000000004</v>
      </c>
      <c r="N29" s="2">
        <v>871.00699999999995</v>
      </c>
      <c r="O29" s="2">
        <v>151.357</v>
      </c>
      <c r="P29" s="2">
        <v>1022.364</v>
      </c>
      <c r="Q29" s="2">
        <v>207.66399999999999</v>
      </c>
      <c r="R29" s="2">
        <v>36.085999999999999</v>
      </c>
      <c r="S29" s="2">
        <v>243.75</v>
      </c>
      <c r="T29" s="2">
        <v>85.2</v>
      </c>
      <c r="U29" s="2">
        <v>3.5295999999999998</v>
      </c>
      <c r="V29" s="2">
        <v>294.57</v>
      </c>
    </row>
    <row r="30" spans="1:22" x14ac:dyDescent="0.35">
      <c r="A30" s="2" t="s">
        <v>37</v>
      </c>
      <c r="B30" s="2" t="s">
        <v>40</v>
      </c>
      <c r="C30" s="2">
        <v>3</v>
      </c>
      <c r="D30" s="2" t="s">
        <v>78</v>
      </c>
      <c r="E30" s="2">
        <v>7</v>
      </c>
      <c r="F30" s="2" t="s">
        <v>79</v>
      </c>
      <c r="G30" s="3">
        <v>4194304</v>
      </c>
      <c r="H30" s="3">
        <v>1024</v>
      </c>
      <c r="I30" s="3">
        <v>4096</v>
      </c>
      <c r="J30" s="2">
        <v>28.385899999999999</v>
      </c>
      <c r="K30" s="2">
        <v>35.901000000000003</v>
      </c>
      <c r="L30" s="2">
        <v>30.585999999999999</v>
      </c>
      <c r="M30" s="2">
        <v>5.3150000000000004</v>
      </c>
      <c r="N30" s="2">
        <v>868.21100000000001</v>
      </c>
      <c r="O30" s="2">
        <v>150.87100000000001</v>
      </c>
      <c r="P30" s="2">
        <v>1019.082</v>
      </c>
      <c r="Q30" s="2">
        <v>206.99799999999999</v>
      </c>
      <c r="R30" s="2">
        <v>35.97</v>
      </c>
      <c r="S30" s="2">
        <v>242.96799999999999</v>
      </c>
      <c r="T30" s="2">
        <v>85.2</v>
      </c>
      <c r="U30" s="2">
        <v>3.5243000000000002</v>
      </c>
      <c r="V30" s="2">
        <v>295.52</v>
      </c>
    </row>
    <row r="31" spans="1:22" x14ac:dyDescent="0.35">
      <c r="A31" s="2" t="s">
        <v>37</v>
      </c>
      <c r="B31" s="2" t="s">
        <v>40</v>
      </c>
      <c r="C31" s="2">
        <v>3</v>
      </c>
      <c r="D31" s="2" t="s">
        <v>80</v>
      </c>
      <c r="E31" s="2">
        <v>8</v>
      </c>
      <c r="F31" s="2" t="s">
        <v>81</v>
      </c>
      <c r="G31" s="3">
        <v>4194304</v>
      </c>
      <c r="H31" s="3">
        <v>2048</v>
      </c>
      <c r="I31" s="3">
        <v>2048</v>
      </c>
      <c r="J31" s="2">
        <v>28.4299</v>
      </c>
      <c r="K31" s="2">
        <v>35.901000000000003</v>
      </c>
      <c r="L31" s="2">
        <v>30.585999999999999</v>
      </c>
      <c r="M31" s="2">
        <v>5.3150000000000004</v>
      </c>
      <c r="N31" s="2">
        <v>869.55700000000002</v>
      </c>
      <c r="O31" s="2">
        <v>151.10499999999999</v>
      </c>
      <c r="P31" s="2">
        <v>1020.662</v>
      </c>
      <c r="Q31" s="2">
        <v>207.31899999999999</v>
      </c>
      <c r="R31" s="2">
        <v>36.026000000000003</v>
      </c>
      <c r="S31" s="2">
        <v>243.345</v>
      </c>
      <c r="T31" s="2">
        <v>85.2</v>
      </c>
      <c r="U31" s="2">
        <v>3.5066999999999999</v>
      </c>
      <c r="V31" s="2">
        <v>295.06</v>
      </c>
    </row>
    <row r="32" spans="1:22" x14ac:dyDescent="0.35">
      <c r="A32" s="2" t="s">
        <v>37</v>
      </c>
      <c r="B32" s="2" t="s">
        <v>40</v>
      </c>
      <c r="C32" s="2">
        <v>3</v>
      </c>
      <c r="D32" s="2" t="s">
        <v>82</v>
      </c>
      <c r="E32" s="2">
        <v>9</v>
      </c>
      <c r="F32" s="2" t="s">
        <v>83</v>
      </c>
      <c r="G32" s="3">
        <v>16777216</v>
      </c>
      <c r="H32" s="3">
        <v>4096</v>
      </c>
      <c r="I32" s="3">
        <v>4096</v>
      </c>
      <c r="J32" s="2">
        <v>113.87560000000001</v>
      </c>
      <c r="K32" s="2">
        <v>35.901000000000003</v>
      </c>
      <c r="L32" s="2">
        <v>30.585999999999999</v>
      </c>
      <c r="M32" s="2">
        <v>5.3150000000000004</v>
      </c>
      <c r="N32" s="2">
        <v>3482.9989999999998</v>
      </c>
      <c r="O32" s="2">
        <v>605.24900000000002</v>
      </c>
      <c r="P32" s="2">
        <v>4088.248</v>
      </c>
      <c r="Q32" s="2">
        <v>207.60300000000001</v>
      </c>
      <c r="R32" s="2">
        <v>36.076000000000001</v>
      </c>
      <c r="S32" s="2">
        <v>243.679</v>
      </c>
      <c r="T32" s="2">
        <v>85.2</v>
      </c>
      <c r="U32" s="2">
        <v>3.5154999999999998</v>
      </c>
      <c r="V32" s="2">
        <v>294.66000000000003</v>
      </c>
    </row>
    <row r="33" spans="1:22" x14ac:dyDescent="0.35">
      <c r="A33" s="2" t="s">
        <v>37</v>
      </c>
      <c r="B33" s="2" t="s">
        <v>40</v>
      </c>
      <c r="C33" s="2">
        <v>3</v>
      </c>
      <c r="D33" s="2" t="s">
        <v>84</v>
      </c>
      <c r="E33" s="2">
        <v>10</v>
      </c>
      <c r="F33" s="2" t="s">
        <v>85</v>
      </c>
      <c r="G33" s="3">
        <v>16777216</v>
      </c>
      <c r="H33" s="3">
        <v>8192</v>
      </c>
      <c r="I33" s="3">
        <v>2048</v>
      </c>
      <c r="J33" s="2">
        <v>113.8514</v>
      </c>
      <c r="K33" s="2">
        <v>35.901000000000003</v>
      </c>
      <c r="L33" s="2">
        <v>30.585999999999999</v>
      </c>
      <c r="M33" s="2">
        <v>5.3150000000000004</v>
      </c>
      <c r="N33" s="2">
        <v>3482.259</v>
      </c>
      <c r="O33" s="2">
        <v>605.12</v>
      </c>
      <c r="P33" s="2">
        <v>4087.3789999999999</v>
      </c>
      <c r="Q33" s="2">
        <v>207.559</v>
      </c>
      <c r="R33" s="2">
        <v>36.067999999999998</v>
      </c>
      <c r="S33" s="2">
        <v>243.62700000000001</v>
      </c>
      <c r="T33" s="2">
        <v>85.2</v>
      </c>
      <c r="U33" s="2">
        <v>3.5283000000000002</v>
      </c>
      <c r="V33" s="2">
        <v>294.72000000000003</v>
      </c>
    </row>
    <row r="34" spans="1:22" x14ac:dyDescent="0.35">
      <c r="A34" s="2" t="s">
        <v>37</v>
      </c>
      <c r="B34" s="2" t="s">
        <v>40</v>
      </c>
      <c r="C34" s="2">
        <v>3</v>
      </c>
      <c r="D34" s="2" t="s">
        <v>86</v>
      </c>
      <c r="E34" s="2">
        <v>11</v>
      </c>
      <c r="F34" s="2" t="s">
        <v>87</v>
      </c>
      <c r="G34" s="3">
        <v>16777216</v>
      </c>
      <c r="H34" s="3">
        <v>2048</v>
      </c>
      <c r="I34" s="3">
        <v>8192</v>
      </c>
      <c r="J34" s="2">
        <v>113.20059999999999</v>
      </c>
      <c r="K34" s="2">
        <v>35.901000000000003</v>
      </c>
      <c r="L34" s="2">
        <v>30.585999999999999</v>
      </c>
      <c r="M34" s="2">
        <v>5.3150000000000004</v>
      </c>
      <c r="N34" s="2">
        <v>3462.3539999999998</v>
      </c>
      <c r="O34" s="2">
        <v>601.66099999999994</v>
      </c>
      <c r="P34" s="2">
        <v>4064.0149999999999</v>
      </c>
      <c r="Q34" s="2">
        <v>206.37200000000001</v>
      </c>
      <c r="R34" s="2">
        <v>35.862000000000002</v>
      </c>
      <c r="S34" s="2">
        <v>242.23400000000001</v>
      </c>
      <c r="T34" s="2">
        <v>85.2</v>
      </c>
      <c r="U34" s="2">
        <v>3.5543</v>
      </c>
      <c r="V34" s="2">
        <v>296.42</v>
      </c>
    </row>
    <row r="35" spans="1:22" x14ac:dyDescent="0.35">
      <c r="A35" s="2" t="s">
        <v>37</v>
      </c>
      <c r="B35" s="2" t="s">
        <v>42</v>
      </c>
      <c r="C35" s="2">
        <v>4</v>
      </c>
      <c r="D35" s="2" t="s">
        <v>66</v>
      </c>
      <c r="E35" s="2">
        <v>1</v>
      </c>
      <c r="F35" s="2" t="s">
        <v>67</v>
      </c>
      <c r="G35" s="3">
        <v>262144</v>
      </c>
      <c r="H35" s="2">
        <v>512</v>
      </c>
      <c r="I35" s="2">
        <v>512</v>
      </c>
      <c r="J35" s="2">
        <v>0.91249999999999998</v>
      </c>
      <c r="K35" s="2">
        <v>35.850999999999999</v>
      </c>
      <c r="L35" s="2">
        <v>30.370999999999999</v>
      </c>
      <c r="M35" s="2">
        <v>5.48</v>
      </c>
      <c r="N35" s="2">
        <v>27.713999999999999</v>
      </c>
      <c r="O35" s="2">
        <v>5.0010000000000003</v>
      </c>
      <c r="P35" s="2">
        <v>32.713999999999999</v>
      </c>
      <c r="Q35" s="2">
        <v>105.71899999999999</v>
      </c>
      <c r="R35" s="2">
        <v>19.074999999999999</v>
      </c>
      <c r="S35" s="2">
        <v>124.794</v>
      </c>
      <c r="T35" s="2">
        <v>84.71</v>
      </c>
      <c r="U35" s="2">
        <v>6.8708999999999998</v>
      </c>
      <c r="V35" s="2">
        <v>574.54</v>
      </c>
    </row>
    <row r="36" spans="1:22" x14ac:dyDescent="0.35">
      <c r="A36" s="2" t="s">
        <v>37</v>
      </c>
      <c r="B36" s="2" t="s">
        <v>42</v>
      </c>
      <c r="C36" s="2">
        <v>4</v>
      </c>
      <c r="D36" s="2" t="s">
        <v>68</v>
      </c>
      <c r="E36" s="2">
        <v>2</v>
      </c>
      <c r="F36" s="2" t="s">
        <v>69</v>
      </c>
      <c r="G36" s="3">
        <v>589824</v>
      </c>
      <c r="H36" s="2">
        <v>768</v>
      </c>
      <c r="I36" s="2">
        <v>768</v>
      </c>
      <c r="J36" s="2">
        <v>2.0398999999999998</v>
      </c>
      <c r="K36" s="2">
        <v>35.850999999999999</v>
      </c>
      <c r="L36" s="2">
        <v>30.370999999999999</v>
      </c>
      <c r="M36" s="2">
        <v>5.48</v>
      </c>
      <c r="N36" s="2">
        <v>61.954000000000001</v>
      </c>
      <c r="O36" s="2">
        <v>11.179</v>
      </c>
      <c r="P36" s="2">
        <v>73.132000000000005</v>
      </c>
      <c r="Q36" s="2">
        <v>105.038</v>
      </c>
      <c r="R36" s="2">
        <v>18.952999999999999</v>
      </c>
      <c r="S36" s="2">
        <v>123.99</v>
      </c>
      <c r="T36" s="2">
        <v>84.71</v>
      </c>
      <c r="U36" s="2">
        <v>6.9657</v>
      </c>
      <c r="V36" s="2">
        <v>578.28</v>
      </c>
    </row>
    <row r="37" spans="1:22" x14ac:dyDescent="0.35">
      <c r="A37" s="2" t="s">
        <v>37</v>
      </c>
      <c r="B37" s="2" t="s">
        <v>42</v>
      </c>
      <c r="C37" s="2">
        <v>4</v>
      </c>
      <c r="D37" s="2" t="s">
        <v>70</v>
      </c>
      <c r="E37" s="2">
        <v>3</v>
      </c>
      <c r="F37" s="2" t="s">
        <v>71</v>
      </c>
      <c r="G37" s="3">
        <v>1048576</v>
      </c>
      <c r="H37" s="3">
        <v>1024</v>
      </c>
      <c r="I37" s="3">
        <v>1024</v>
      </c>
      <c r="J37" s="2">
        <v>3.5752000000000002</v>
      </c>
      <c r="K37" s="2">
        <v>35.850999999999999</v>
      </c>
      <c r="L37" s="2">
        <v>30.370999999999999</v>
      </c>
      <c r="M37" s="2">
        <v>5.48</v>
      </c>
      <c r="N37" s="2">
        <v>108.58199999999999</v>
      </c>
      <c r="O37" s="2">
        <v>19.591999999999999</v>
      </c>
      <c r="P37" s="2">
        <v>128.17400000000001</v>
      </c>
      <c r="Q37" s="2">
        <v>103.55200000000001</v>
      </c>
      <c r="R37" s="2">
        <v>18.684000000000001</v>
      </c>
      <c r="S37" s="2">
        <v>122.23699999999999</v>
      </c>
      <c r="T37" s="2">
        <v>84.71</v>
      </c>
      <c r="U37" s="2">
        <v>6.8861999999999997</v>
      </c>
      <c r="V37" s="2">
        <v>586.58000000000004</v>
      </c>
    </row>
    <row r="38" spans="1:22" x14ac:dyDescent="0.35">
      <c r="A38" s="2" t="s">
        <v>37</v>
      </c>
      <c r="B38" s="2" t="s">
        <v>42</v>
      </c>
      <c r="C38" s="2">
        <v>4</v>
      </c>
      <c r="D38" s="2" t="s">
        <v>72</v>
      </c>
      <c r="E38" s="2">
        <v>4</v>
      </c>
      <c r="F38" s="2" t="s">
        <v>73</v>
      </c>
      <c r="G38" s="3">
        <v>2359296</v>
      </c>
      <c r="H38" s="3">
        <v>3072</v>
      </c>
      <c r="I38" s="2">
        <v>768</v>
      </c>
      <c r="J38" s="2">
        <v>8.0447000000000006</v>
      </c>
      <c r="K38" s="2">
        <v>35.850999999999999</v>
      </c>
      <c r="L38" s="2">
        <v>30.370999999999999</v>
      </c>
      <c r="M38" s="2">
        <v>5.48</v>
      </c>
      <c r="N38" s="2">
        <v>244.32599999999999</v>
      </c>
      <c r="O38" s="2">
        <v>44.085000000000001</v>
      </c>
      <c r="P38" s="2">
        <v>288.411</v>
      </c>
      <c r="Q38" s="2">
        <v>103.559</v>
      </c>
      <c r="R38" s="2">
        <v>18.686</v>
      </c>
      <c r="S38" s="2">
        <v>122.244</v>
      </c>
      <c r="T38" s="2">
        <v>84.71</v>
      </c>
      <c r="U38" s="2">
        <v>6.9741999999999997</v>
      </c>
      <c r="V38" s="2">
        <v>586.54999999999995</v>
      </c>
    </row>
    <row r="39" spans="1:22" x14ac:dyDescent="0.35">
      <c r="A39" s="2" t="s">
        <v>37</v>
      </c>
      <c r="B39" s="2" t="s">
        <v>42</v>
      </c>
      <c r="C39" s="2">
        <v>4</v>
      </c>
      <c r="D39" s="2" t="s">
        <v>74</v>
      </c>
      <c r="E39" s="2">
        <v>5</v>
      </c>
      <c r="F39" s="2" t="s">
        <v>75</v>
      </c>
      <c r="G39" s="3">
        <v>2359296</v>
      </c>
      <c r="H39" s="2">
        <v>768</v>
      </c>
      <c r="I39" s="3">
        <v>3072</v>
      </c>
      <c r="J39" s="2">
        <v>7.9032999999999998</v>
      </c>
      <c r="K39" s="2">
        <v>35.850999999999999</v>
      </c>
      <c r="L39" s="2">
        <v>30.370999999999999</v>
      </c>
      <c r="M39" s="2">
        <v>5.48</v>
      </c>
      <c r="N39" s="2">
        <v>240.03100000000001</v>
      </c>
      <c r="O39" s="2">
        <v>43.31</v>
      </c>
      <c r="P39" s="2">
        <v>283.34100000000001</v>
      </c>
      <c r="Q39" s="2">
        <v>101.738</v>
      </c>
      <c r="R39" s="2">
        <v>18.356999999999999</v>
      </c>
      <c r="S39" s="2">
        <v>120.096</v>
      </c>
      <c r="T39" s="2">
        <v>84.71</v>
      </c>
      <c r="U39" s="2">
        <v>7.1543999999999999</v>
      </c>
      <c r="V39" s="2">
        <v>597.04</v>
      </c>
    </row>
    <row r="40" spans="1:22" x14ac:dyDescent="0.35">
      <c r="A40" s="2" t="s">
        <v>37</v>
      </c>
      <c r="B40" s="2" t="s">
        <v>42</v>
      </c>
      <c r="C40" s="2">
        <v>4</v>
      </c>
      <c r="D40" s="2" t="s">
        <v>76</v>
      </c>
      <c r="E40" s="2">
        <v>6</v>
      </c>
      <c r="F40" s="2" t="s">
        <v>77</v>
      </c>
      <c r="G40" s="3">
        <v>4194304</v>
      </c>
      <c r="H40" s="3">
        <v>4096</v>
      </c>
      <c r="I40" s="3">
        <v>1024</v>
      </c>
      <c r="J40" s="2">
        <v>14.2766</v>
      </c>
      <c r="K40" s="2">
        <v>35.850999999999999</v>
      </c>
      <c r="L40" s="2">
        <v>30.370999999999999</v>
      </c>
      <c r="M40" s="2">
        <v>5.48</v>
      </c>
      <c r="N40" s="2">
        <v>433.59500000000003</v>
      </c>
      <c r="O40" s="2">
        <v>78.236000000000004</v>
      </c>
      <c r="P40" s="2">
        <v>511.83</v>
      </c>
      <c r="Q40" s="2">
        <v>103.377</v>
      </c>
      <c r="R40" s="2">
        <v>18.652999999999999</v>
      </c>
      <c r="S40" s="2">
        <v>122.03</v>
      </c>
      <c r="T40" s="2">
        <v>84.71</v>
      </c>
      <c r="U40" s="2">
        <v>7.0502000000000002</v>
      </c>
      <c r="V40" s="2">
        <v>587.58000000000004</v>
      </c>
    </row>
    <row r="41" spans="1:22" x14ac:dyDescent="0.35">
      <c r="A41" s="2" t="s">
        <v>37</v>
      </c>
      <c r="B41" s="2" t="s">
        <v>42</v>
      </c>
      <c r="C41" s="2">
        <v>4</v>
      </c>
      <c r="D41" s="2" t="s">
        <v>78</v>
      </c>
      <c r="E41" s="2">
        <v>7</v>
      </c>
      <c r="F41" s="2" t="s">
        <v>79</v>
      </c>
      <c r="G41" s="3">
        <v>4194304</v>
      </c>
      <c r="H41" s="3">
        <v>1024</v>
      </c>
      <c r="I41" s="3">
        <v>4096</v>
      </c>
      <c r="J41" s="2">
        <v>14.176500000000001</v>
      </c>
      <c r="K41" s="2">
        <v>35.850999999999999</v>
      </c>
      <c r="L41" s="2">
        <v>30.370999999999999</v>
      </c>
      <c r="M41" s="2">
        <v>5.48</v>
      </c>
      <c r="N41" s="2">
        <v>430.55399999999997</v>
      </c>
      <c r="O41" s="2">
        <v>77.686999999999998</v>
      </c>
      <c r="P41" s="2">
        <v>508.24200000000002</v>
      </c>
      <c r="Q41" s="2">
        <v>102.652</v>
      </c>
      <c r="R41" s="2">
        <v>18.521999999999998</v>
      </c>
      <c r="S41" s="2">
        <v>121.17400000000001</v>
      </c>
      <c r="T41" s="2">
        <v>84.71</v>
      </c>
      <c r="U41" s="2">
        <v>7.0666000000000002</v>
      </c>
      <c r="V41" s="2">
        <v>591.73</v>
      </c>
    </row>
    <row r="42" spans="1:22" x14ac:dyDescent="0.35">
      <c r="A42" s="2" t="s">
        <v>37</v>
      </c>
      <c r="B42" s="2" t="s">
        <v>42</v>
      </c>
      <c r="C42" s="2">
        <v>4</v>
      </c>
      <c r="D42" s="2" t="s">
        <v>80</v>
      </c>
      <c r="E42" s="2">
        <v>8</v>
      </c>
      <c r="F42" s="2" t="s">
        <v>81</v>
      </c>
      <c r="G42" s="3">
        <v>4194304</v>
      </c>
      <c r="H42" s="3">
        <v>2048</v>
      </c>
      <c r="I42" s="3">
        <v>2048</v>
      </c>
      <c r="J42" s="2">
        <v>14.080399999999999</v>
      </c>
      <c r="K42" s="2">
        <v>35.850999999999999</v>
      </c>
      <c r="L42" s="2">
        <v>30.370999999999999</v>
      </c>
      <c r="M42" s="2">
        <v>5.48</v>
      </c>
      <c r="N42" s="2">
        <v>427.63600000000002</v>
      </c>
      <c r="O42" s="2">
        <v>77.161000000000001</v>
      </c>
      <c r="P42" s="2">
        <v>504.79599999999999</v>
      </c>
      <c r="Q42" s="2">
        <v>101.956</v>
      </c>
      <c r="R42" s="2">
        <v>18.396999999999998</v>
      </c>
      <c r="S42" s="2">
        <v>120.35299999999999</v>
      </c>
      <c r="T42" s="2">
        <v>84.71</v>
      </c>
      <c r="U42" s="2">
        <v>7.0903</v>
      </c>
      <c r="V42" s="2">
        <v>595.76</v>
      </c>
    </row>
    <row r="43" spans="1:22" x14ac:dyDescent="0.35">
      <c r="A43" s="2" t="s">
        <v>37</v>
      </c>
      <c r="B43" s="2" t="s">
        <v>42</v>
      </c>
      <c r="C43" s="2">
        <v>4</v>
      </c>
      <c r="D43" s="2" t="s">
        <v>82</v>
      </c>
      <c r="E43" s="2">
        <v>9</v>
      </c>
      <c r="F43" s="2" t="s">
        <v>83</v>
      </c>
      <c r="G43" s="3">
        <v>16777216</v>
      </c>
      <c r="H43" s="3">
        <v>4096</v>
      </c>
      <c r="I43" s="3">
        <v>4096</v>
      </c>
      <c r="J43" s="2">
        <v>56.578699999999998</v>
      </c>
      <c r="K43" s="2">
        <v>35.850999999999999</v>
      </c>
      <c r="L43" s="2">
        <v>30.370999999999999</v>
      </c>
      <c r="M43" s="2">
        <v>5.48</v>
      </c>
      <c r="N43" s="2">
        <v>1718.3520000000001</v>
      </c>
      <c r="O43" s="2">
        <v>310.05099999999999</v>
      </c>
      <c r="P43" s="2">
        <v>2028.403</v>
      </c>
      <c r="Q43" s="2">
        <v>102.422</v>
      </c>
      <c r="R43" s="2">
        <v>18.48</v>
      </c>
      <c r="S43" s="2">
        <v>120.902</v>
      </c>
      <c r="T43" s="2">
        <v>84.71</v>
      </c>
      <c r="U43" s="2">
        <v>7.0853999999999999</v>
      </c>
      <c r="V43" s="2">
        <v>593.05999999999995</v>
      </c>
    </row>
    <row r="44" spans="1:22" x14ac:dyDescent="0.35">
      <c r="A44" s="2" t="s">
        <v>37</v>
      </c>
      <c r="B44" s="2" t="s">
        <v>42</v>
      </c>
      <c r="C44" s="2">
        <v>4</v>
      </c>
      <c r="D44" s="2" t="s">
        <v>84</v>
      </c>
      <c r="E44" s="2">
        <v>10</v>
      </c>
      <c r="F44" s="2" t="s">
        <v>85</v>
      </c>
      <c r="G44" s="3">
        <v>16777216</v>
      </c>
      <c r="H44" s="3">
        <v>8192</v>
      </c>
      <c r="I44" s="3">
        <v>2048</v>
      </c>
      <c r="J44" s="2">
        <v>56.970500000000001</v>
      </c>
      <c r="K44" s="2">
        <v>35.850999999999999</v>
      </c>
      <c r="L44" s="2">
        <v>30.370999999999999</v>
      </c>
      <c r="M44" s="2">
        <v>5.48</v>
      </c>
      <c r="N44" s="2">
        <v>1730.251</v>
      </c>
      <c r="O44" s="2">
        <v>312.19799999999998</v>
      </c>
      <c r="P44" s="2">
        <v>2042.4490000000001</v>
      </c>
      <c r="Q44" s="2">
        <v>103.131</v>
      </c>
      <c r="R44" s="2">
        <v>18.608000000000001</v>
      </c>
      <c r="S44" s="2">
        <v>121.739</v>
      </c>
      <c r="T44" s="2">
        <v>84.71</v>
      </c>
      <c r="U44" s="2">
        <v>7.0609000000000002</v>
      </c>
      <c r="V44" s="2">
        <v>588.98</v>
      </c>
    </row>
    <row r="45" spans="1:22" x14ac:dyDescent="0.35">
      <c r="A45" s="2" t="s">
        <v>37</v>
      </c>
      <c r="B45" s="2" t="s">
        <v>42</v>
      </c>
      <c r="C45" s="2">
        <v>4</v>
      </c>
      <c r="D45" s="2" t="s">
        <v>86</v>
      </c>
      <c r="E45" s="2">
        <v>11</v>
      </c>
      <c r="F45" s="2" t="s">
        <v>87</v>
      </c>
      <c r="G45" s="3">
        <v>16777216</v>
      </c>
      <c r="H45" s="3">
        <v>2048</v>
      </c>
      <c r="I45" s="3">
        <v>8192</v>
      </c>
      <c r="J45" s="2">
        <v>56.651400000000002</v>
      </c>
      <c r="K45" s="2">
        <v>35.850999999999999</v>
      </c>
      <c r="L45" s="2">
        <v>30.370999999999999</v>
      </c>
      <c r="M45" s="2">
        <v>5.48</v>
      </c>
      <c r="N45" s="2">
        <v>1720.56</v>
      </c>
      <c r="O45" s="2">
        <v>310.45</v>
      </c>
      <c r="P45" s="2">
        <v>2031.009</v>
      </c>
      <c r="Q45" s="2">
        <v>102.553</v>
      </c>
      <c r="R45" s="2">
        <v>18.504000000000001</v>
      </c>
      <c r="S45" s="2">
        <v>121.05800000000001</v>
      </c>
      <c r="T45" s="2">
        <v>84.71</v>
      </c>
      <c r="U45" s="2">
        <v>7.1120000000000001</v>
      </c>
      <c r="V45" s="2">
        <v>592.29999999999995</v>
      </c>
    </row>
    <row r="46" spans="1:22" x14ac:dyDescent="0.35">
      <c r="A46" s="2" t="s">
        <v>37</v>
      </c>
      <c r="B46" s="2" t="s">
        <v>44</v>
      </c>
      <c r="C46" s="2">
        <v>5</v>
      </c>
      <c r="D46" s="2" t="s">
        <v>66</v>
      </c>
      <c r="E46" s="2">
        <v>1</v>
      </c>
      <c r="F46" s="2" t="s">
        <v>67</v>
      </c>
      <c r="G46" s="3">
        <v>262144</v>
      </c>
      <c r="H46" s="2">
        <v>512</v>
      </c>
      <c r="I46" s="2">
        <v>512</v>
      </c>
      <c r="J46" s="2">
        <v>0.4657</v>
      </c>
      <c r="K46" s="2">
        <v>35.9</v>
      </c>
      <c r="L46" s="2">
        <v>30.47</v>
      </c>
      <c r="M46" s="2">
        <v>5.43</v>
      </c>
      <c r="N46" s="2">
        <v>14.19</v>
      </c>
      <c r="O46" s="2">
        <v>2.5289999999999999</v>
      </c>
      <c r="P46" s="2">
        <v>16.719000000000001</v>
      </c>
      <c r="Q46" s="2">
        <v>54.13</v>
      </c>
      <c r="R46" s="2">
        <v>9.6460000000000008</v>
      </c>
      <c r="S46" s="2">
        <v>63.777000000000001</v>
      </c>
      <c r="T46" s="2">
        <v>84.87</v>
      </c>
      <c r="U46" s="2">
        <v>13.4445</v>
      </c>
      <c r="V46" s="2">
        <v>1125.8900000000001</v>
      </c>
    </row>
    <row r="47" spans="1:22" x14ac:dyDescent="0.35">
      <c r="A47" s="2" t="s">
        <v>37</v>
      </c>
      <c r="B47" s="2" t="s">
        <v>44</v>
      </c>
      <c r="C47" s="2">
        <v>5</v>
      </c>
      <c r="D47" s="2" t="s">
        <v>68</v>
      </c>
      <c r="E47" s="2">
        <v>2</v>
      </c>
      <c r="F47" s="2" t="s">
        <v>69</v>
      </c>
      <c r="G47" s="3">
        <v>589824</v>
      </c>
      <c r="H47" s="2">
        <v>768</v>
      </c>
      <c r="I47" s="2">
        <v>768</v>
      </c>
      <c r="J47" s="2">
        <v>1.0187999999999999</v>
      </c>
      <c r="K47" s="2">
        <v>35.9</v>
      </c>
      <c r="L47" s="2">
        <v>30.47</v>
      </c>
      <c r="M47" s="2">
        <v>5.43</v>
      </c>
      <c r="N47" s="2">
        <v>31.042999999999999</v>
      </c>
      <c r="O47" s="2">
        <v>5.532</v>
      </c>
      <c r="P47" s="2">
        <v>36.575000000000003</v>
      </c>
      <c r="Q47" s="2">
        <v>52.631</v>
      </c>
      <c r="R47" s="2">
        <v>9.3789999999999996</v>
      </c>
      <c r="S47" s="2">
        <v>62.01</v>
      </c>
      <c r="T47" s="2">
        <v>84.87</v>
      </c>
      <c r="U47" s="2">
        <v>13.928000000000001</v>
      </c>
      <c r="V47" s="2">
        <v>1157.8399999999999</v>
      </c>
    </row>
    <row r="48" spans="1:22" x14ac:dyDescent="0.35">
      <c r="A48" s="2" t="s">
        <v>37</v>
      </c>
      <c r="B48" s="2" t="s">
        <v>44</v>
      </c>
      <c r="C48" s="2">
        <v>5</v>
      </c>
      <c r="D48" s="2" t="s">
        <v>70</v>
      </c>
      <c r="E48" s="2">
        <v>3</v>
      </c>
      <c r="F48" s="2" t="s">
        <v>71</v>
      </c>
      <c r="G48" s="3">
        <v>1048576</v>
      </c>
      <c r="H48" s="3">
        <v>1024</v>
      </c>
      <c r="I48" s="3">
        <v>1024</v>
      </c>
      <c r="J48" s="2">
        <v>1.7924</v>
      </c>
      <c r="K48" s="2">
        <v>35.9</v>
      </c>
      <c r="L48" s="2">
        <v>30.47</v>
      </c>
      <c r="M48" s="2">
        <v>5.43</v>
      </c>
      <c r="N48" s="2">
        <v>54.613999999999997</v>
      </c>
      <c r="O48" s="2">
        <v>9.7330000000000005</v>
      </c>
      <c r="P48" s="2">
        <v>64.346999999999994</v>
      </c>
      <c r="Q48" s="2">
        <v>52.084000000000003</v>
      </c>
      <c r="R48" s="2">
        <v>9.282</v>
      </c>
      <c r="S48" s="2">
        <v>61.366</v>
      </c>
      <c r="T48" s="2">
        <v>84.87</v>
      </c>
      <c r="U48" s="2">
        <v>13.716799999999999</v>
      </c>
      <c r="V48" s="2">
        <v>1170.03</v>
      </c>
    </row>
    <row r="49" spans="1:22" x14ac:dyDescent="0.35">
      <c r="A49" s="2" t="s">
        <v>37</v>
      </c>
      <c r="B49" s="2" t="s">
        <v>44</v>
      </c>
      <c r="C49" s="2">
        <v>5</v>
      </c>
      <c r="D49" s="2" t="s">
        <v>72</v>
      </c>
      <c r="E49" s="2">
        <v>4</v>
      </c>
      <c r="F49" s="2" t="s">
        <v>73</v>
      </c>
      <c r="G49" s="3">
        <v>2359296</v>
      </c>
      <c r="H49" s="3">
        <v>3072</v>
      </c>
      <c r="I49" s="2">
        <v>768</v>
      </c>
      <c r="J49" s="2">
        <v>4.0896999999999997</v>
      </c>
      <c r="K49" s="2">
        <v>35.9</v>
      </c>
      <c r="L49" s="2">
        <v>30.47</v>
      </c>
      <c r="M49" s="2">
        <v>5.43</v>
      </c>
      <c r="N49" s="2">
        <v>124.613</v>
      </c>
      <c r="O49" s="2">
        <v>22.207000000000001</v>
      </c>
      <c r="P49" s="2">
        <v>146.82</v>
      </c>
      <c r="Q49" s="2">
        <v>52.817999999999998</v>
      </c>
      <c r="R49" s="2">
        <v>9.4130000000000003</v>
      </c>
      <c r="S49" s="2">
        <v>62.231000000000002</v>
      </c>
      <c r="T49" s="2">
        <v>84.87</v>
      </c>
      <c r="U49" s="2">
        <v>13.6999</v>
      </c>
      <c r="V49" s="2">
        <v>1153.79</v>
      </c>
    </row>
    <row r="50" spans="1:22" x14ac:dyDescent="0.35">
      <c r="A50" s="2" t="s">
        <v>37</v>
      </c>
      <c r="B50" s="2" t="s">
        <v>44</v>
      </c>
      <c r="C50" s="2">
        <v>5</v>
      </c>
      <c r="D50" s="2" t="s">
        <v>74</v>
      </c>
      <c r="E50" s="2">
        <v>5</v>
      </c>
      <c r="F50" s="2" t="s">
        <v>75</v>
      </c>
      <c r="G50" s="3">
        <v>2359296</v>
      </c>
      <c r="H50" s="2">
        <v>768</v>
      </c>
      <c r="I50" s="3">
        <v>3072</v>
      </c>
      <c r="J50" s="2">
        <v>3.9411</v>
      </c>
      <c r="K50" s="2">
        <v>35.9</v>
      </c>
      <c r="L50" s="2">
        <v>30.47</v>
      </c>
      <c r="M50" s="2">
        <v>5.43</v>
      </c>
      <c r="N50" s="2">
        <v>120.08499999999999</v>
      </c>
      <c r="O50" s="2">
        <v>21.4</v>
      </c>
      <c r="P50" s="2">
        <v>141.48500000000001</v>
      </c>
      <c r="Q50" s="2">
        <v>50.899000000000001</v>
      </c>
      <c r="R50" s="2">
        <v>9.0709999999999997</v>
      </c>
      <c r="S50" s="2">
        <v>59.969000000000001</v>
      </c>
      <c r="T50" s="2">
        <v>84.87</v>
      </c>
      <c r="U50" s="2">
        <v>14.3276</v>
      </c>
      <c r="V50" s="2">
        <v>1197.28</v>
      </c>
    </row>
    <row r="51" spans="1:22" x14ac:dyDescent="0.35">
      <c r="A51" s="2" t="s">
        <v>37</v>
      </c>
      <c r="B51" s="2" t="s">
        <v>44</v>
      </c>
      <c r="C51" s="2">
        <v>5</v>
      </c>
      <c r="D51" s="2" t="s">
        <v>76</v>
      </c>
      <c r="E51" s="2">
        <v>6</v>
      </c>
      <c r="F51" s="2" t="s">
        <v>77</v>
      </c>
      <c r="G51" s="3">
        <v>4194304</v>
      </c>
      <c r="H51" s="3">
        <v>4096</v>
      </c>
      <c r="I51" s="3">
        <v>1024</v>
      </c>
      <c r="J51" s="2">
        <v>7.2076000000000002</v>
      </c>
      <c r="K51" s="2">
        <v>35.9</v>
      </c>
      <c r="L51" s="2">
        <v>30.47</v>
      </c>
      <c r="M51" s="2">
        <v>5.43</v>
      </c>
      <c r="N51" s="2">
        <v>219.61600000000001</v>
      </c>
      <c r="O51" s="2">
        <v>39.137</v>
      </c>
      <c r="P51" s="2">
        <v>258.75299999999999</v>
      </c>
      <c r="Q51" s="2">
        <v>52.36</v>
      </c>
      <c r="R51" s="2">
        <v>9.3309999999999995</v>
      </c>
      <c r="S51" s="2">
        <v>61.691000000000003</v>
      </c>
      <c r="T51" s="2">
        <v>84.87</v>
      </c>
      <c r="U51" s="2">
        <v>13.9459</v>
      </c>
      <c r="V51" s="2">
        <v>1163.8599999999999</v>
      </c>
    </row>
    <row r="52" spans="1:22" x14ac:dyDescent="0.35">
      <c r="A52" s="2" t="s">
        <v>37</v>
      </c>
      <c r="B52" s="2" t="s">
        <v>44</v>
      </c>
      <c r="C52" s="2">
        <v>5</v>
      </c>
      <c r="D52" s="2" t="s">
        <v>78</v>
      </c>
      <c r="E52" s="2">
        <v>7</v>
      </c>
      <c r="F52" s="2" t="s">
        <v>79</v>
      </c>
      <c r="G52" s="3">
        <v>4194304</v>
      </c>
      <c r="H52" s="3">
        <v>1024</v>
      </c>
      <c r="I52" s="3">
        <v>4096</v>
      </c>
      <c r="J52" s="2">
        <v>7.05</v>
      </c>
      <c r="K52" s="2">
        <v>35.9</v>
      </c>
      <c r="L52" s="2">
        <v>30.47</v>
      </c>
      <c r="M52" s="2">
        <v>5.43</v>
      </c>
      <c r="N52" s="2">
        <v>214.81299999999999</v>
      </c>
      <c r="O52" s="2">
        <v>38.280999999999999</v>
      </c>
      <c r="P52" s="2">
        <v>253.095</v>
      </c>
      <c r="Q52" s="2">
        <v>51.216000000000001</v>
      </c>
      <c r="R52" s="2">
        <v>9.1270000000000007</v>
      </c>
      <c r="S52" s="2">
        <v>60.343000000000004</v>
      </c>
      <c r="T52" s="2">
        <v>84.87</v>
      </c>
      <c r="U52" s="2">
        <v>14.1905</v>
      </c>
      <c r="V52" s="2">
        <v>1189.8699999999999</v>
      </c>
    </row>
    <row r="53" spans="1:22" x14ac:dyDescent="0.35">
      <c r="A53" s="2" t="s">
        <v>37</v>
      </c>
      <c r="B53" s="2" t="s">
        <v>44</v>
      </c>
      <c r="C53" s="2">
        <v>5</v>
      </c>
      <c r="D53" s="2" t="s">
        <v>80</v>
      </c>
      <c r="E53" s="2">
        <v>8</v>
      </c>
      <c r="F53" s="2" t="s">
        <v>81</v>
      </c>
      <c r="G53" s="3">
        <v>4194304</v>
      </c>
      <c r="H53" s="3">
        <v>2048</v>
      </c>
      <c r="I53" s="3">
        <v>2048</v>
      </c>
      <c r="J53" s="2">
        <v>7.1193</v>
      </c>
      <c r="K53" s="2">
        <v>35.9</v>
      </c>
      <c r="L53" s="2">
        <v>30.47</v>
      </c>
      <c r="M53" s="2">
        <v>5.43</v>
      </c>
      <c r="N53" s="2">
        <v>216.92500000000001</v>
      </c>
      <c r="O53" s="2">
        <v>38.658000000000001</v>
      </c>
      <c r="P53" s="2">
        <v>255.583</v>
      </c>
      <c r="Q53" s="2">
        <v>51.719000000000001</v>
      </c>
      <c r="R53" s="2">
        <v>9.2170000000000005</v>
      </c>
      <c r="S53" s="2">
        <v>60.936</v>
      </c>
      <c r="T53" s="2">
        <v>84.87</v>
      </c>
      <c r="U53" s="2">
        <v>14.0039</v>
      </c>
      <c r="V53" s="2">
        <v>1178.3</v>
      </c>
    </row>
    <row r="54" spans="1:22" x14ac:dyDescent="0.35">
      <c r="A54" s="2" t="s">
        <v>37</v>
      </c>
      <c r="B54" s="2" t="s">
        <v>44</v>
      </c>
      <c r="C54" s="2">
        <v>5</v>
      </c>
      <c r="D54" s="2" t="s">
        <v>82</v>
      </c>
      <c r="E54" s="2">
        <v>9</v>
      </c>
      <c r="F54" s="2" t="s">
        <v>83</v>
      </c>
      <c r="G54" s="3">
        <v>16777216</v>
      </c>
      <c r="H54" s="3">
        <v>4096</v>
      </c>
      <c r="I54" s="3">
        <v>4096</v>
      </c>
      <c r="J54" s="2">
        <v>28.266400000000001</v>
      </c>
      <c r="K54" s="2">
        <v>35.9</v>
      </c>
      <c r="L54" s="2">
        <v>30.47</v>
      </c>
      <c r="M54" s="2">
        <v>5.43</v>
      </c>
      <c r="N54" s="2">
        <v>861.27700000000004</v>
      </c>
      <c r="O54" s="2">
        <v>153.48699999999999</v>
      </c>
      <c r="P54" s="2">
        <v>1014.764</v>
      </c>
      <c r="Q54" s="2">
        <v>51.335999999999999</v>
      </c>
      <c r="R54" s="2">
        <v>9.1489999999999991</v>
      </c>
      <c r="S54" s="2">
        <v>60.484999999999999</v>
      </c>
      <c r="T54" s="2">
        <v>84.87</v>
      </c>
      <c r="U54" s="2">
        <v>14.1629</v>
      </c>
      <c r="V54" s="2">
        <v>1187.08</v>
      </c>
    </row>
    <row r="55" spans="1:22" x14ac:dyDescent="0.35">
      <c r="A55" s="2" t="s">
        <v>37</v>
      </c>
      <c r="B55" s="2" t="s">
        <v>44</v>
      </c>
      <c r="C55" s="2">
        <v>5</v>
      </c>
      <c r="D55" s="2" t="s">
        <v>84</v>
      </c>
      <c r="E55" s="2">
        <v>10</v>
      </c>
      <c r="F55" s="2" t="s">
        <v>85</v>
      </c>
      <c r="G55" s="3">
        <v>16777216</v>
      </c>
      <c r="H55" s="3">
        <v>8192</v>
      </c>
      <c r="I55" s="3">
        <v>2048</v>
      </c>
      <c r="J55" s="2">
        <v>28.450299999999999</v>
      </c>
      <c r="K55" s="2">
        <v>35.9</v>
      </c>
      <c r="L55" s="2">
        <v>30.47</v>
      </c>
      <c r="M55" s="2">
        <v>5.43</v>
      </c>
      <c r="N55" s="2">
        <v>866.88099999999997</v>
      </c>
      <c r="O55" s="2">
        <v>154.48500000000001</v>
      </c>
      <c r="P55" s="2">
        <v>1021.366</v>
      </c>
      <c r="Q55" s="2">
        <v>51.67</v>
      </c>
      <c r="R55" s="2">
        <v>9.2080000000000002</v>
      </c>
      <c r="S55" s="2">
        <v>60.878</v>
      </c>
      <c r="T55" s="2">
        <v>84.87</v>
      </c>
      <c r="U55" s="2">
        <v>14.1198</v>
      </c>
      <c r="V55" s="2">
        <v>1179.4100000000001</v>
      </c>
    </row>
    <row r="56" spans="1:22" x14ac:dyDescent="0.35">
      <c r="A56" s="2" t="s">
        <v>37</v>
      </c>
      <c r="B56" s="2" t="s">
        <v>44</v>
      </c>
      <c r="C56" s="2">
        <v>5</v>
      </c>
      <c r="D56" s="2" t="s">
        <v>86</v>
      </c>
      <c r="E56" s="2">
        <v>11</v>
      </c>
      <c r="F56" s="2" t="s">
        <v>87</v>
      </c>
      <c r="G56" s="3">
        <v>16777216</v>
      </c>
      <c r="H56" s="3">
        <v>2048</v>
      </c>
      <c r="I56" s="3">
        <v>8192</v>
      </c>
      <c r="J56" s="2">
        <v>27.9589</v>
      </c>
      <c r="K56" s="2">
        <v>35.9</v>
      </c>
      <c r="L56" s="2">
        <v>30.47</v>
      </c>
      <c r="M56" s="2">
        <v>5.43</v>
      </c>
      <c r="N56" s="2">
        <v>851.90800000000002</v>
      </c>
      <c r="O56" s="2">
        <v>151.81700000000001</v>
      </c>
      <c r="P56" s="2">
        <v>1003.725</v>
      </c>
      <c r="Q56" s="2">
        <v>50.777999999999999</v>
      </c>
      <c r="R56" s="2">
        <v>9.0489999999999995</v>
      </c>
      <c r="S56" s="2">
        <v>59.826999999999998</v>
      </c>
      <c r="T56" s="2">
        <v>84.87</v>
      </c>
      <c r="U56" s="2">
        <v>14.3909</v>
      </c>
      <c r="V56" s="2">
        <v>1200.1300000000001</v>
      </c>
    </row>
    <row r="57" spans="1:22" x14ac:dyDescent="0.35">
      <c r="A57" s="2" t="s">
        <v>37</v>
      </c>
      <c r="B57" s="2" t="s">
        <v>46</v>
      </c>
      <c r="C57" s="2">
        <v>6</v>
      </c>
      <c r="D57" s="2" t="s">
        <v>66</v>
      </c>
      <c r="E57" s="2">
        <v>1</v>
      </c>
      <c r="F57" s="2" t="s">
        <v>67</v>
      </c>
      <c r="G57" s="3">
        <v>262144</v>
      </c>
      <c r="H57" s="2">
        <v>512</v>
      </c>
      <c r="I57" s="2">
        <v>512</v>
      </c>
      <c r="J57" s="2">
        <v>1.6601999999999999</v>
      </c>
      <c r="K57" s="2">
        <v>35.984999999999999</v>
      </c>
      <c r="L57" s="2">
        <v>30.247</v>
      </c>
      <c r="M57" s="2">
        <v>5.7380000000000004</v>
      </c>
      <c r="N57" s="2">
        <v>50.216000000000001</v>
      </c>
      <c r="O57" s="2">
        <v>9.5259999999999998</v>
      </c>
      <c r="P57" s="2">
        <v>59.741999999999997</v>
      </c>
      <c r="Q57" s="2">
        <v>191.559</v>
      </c>
      <c r="R57" s="2">
        <v>36.340000000000003</v>
      </c>
      <c r="S57" s="2">
        <v>227.899</v>
      </c>
      <c r="T57" s="2">
        <v>84.05</v>
      </c>
      <c r="U57" s="2">
        <v>3.7624</v>
      </c>
      <c r="V57" s="2">
        <v>315.8</v>
      </c>
    </row>
    <row r="58" spans="1:22" x14ac:dyDescent="0.35">
      <c r="A58" s="2" t="s">
        <v>37</v>
      </c>
      <c r="B58" s="2" t="s">
        <v>46</v>
      </c>
      <c r="C58" s="2">
        <v>6</v>
      </c>
      <c r="D58" s="2" t="s">
        <v>68</v>
      </c>
      <c r="E58" s="2">
        <v>2</v>
      </c>
      <c r="F58" s="2" t="s">
        <v>69</v>
      </c>
      <c r="G58" s="3">
        <v>589824</v>
      </c>
      <c r="H58" s="2">
        <v>768</v>
      </c>
      <c r="I58" s="2">
        <v>768</v>
      </c>
      <c r="J58" s="2">
        <v>3.7231000000000001</v>
      </c>
      <c r="K58" s="2">
        <v>35.984999999999999</v>
      </c>
      <c r="L58" s="2">
        <v>30.247</v>
      </c>
      <c r="M58" s="2">
        <v>5.7380000000000004</v>
      </c>
      <c r="N58" s="2">
        <v>112.613</v>
      </c>
      <c r="O58" s="2">
        <v>21.363</v>
      </c>
      <c r="P58" s="2">
        <v>133.976</v>
      </c>
      <c r="Q58" s="2">
        <v>190.92599999999999</v>
      </c>
      <c r="R58" s="2">
        <v>36.22</v>
      </c>
      <c r="S58" s="2">
        <v>227.14500000000001</v>
      </c>
      <c r="T58" s="2">
        <v>84.05</v>
      </c>
      <c r="U58" s="2">
        <v>3.8022999999999998</v>
      </c>
      <c r="V58" s="2">
        <v>316.83999999999997</v>
      </c>
    </row>
    <row r="59" spans="1:22" x14ac:dyDescent="0.35">
      <c r="A59" s="2" t="s">
        <v>37</v>
      </c>
      <c r="B59" s="2" t="s">
        <v>46</v>
      </c>
      <c r="C59" s="2">
        <v>6</v>
      </c>
      <c r="D59" s="2" t="s">
        <v>70</v>
      </c>
      <c r="E59" s="2">
        <v>3</v>
      </c>
      <c r="F59" s="2" t="s">
        <v>71</v>
      </c>
      <c r="G59" s="3">
        <v>1048576</v>
      </c>
      <c r="H59" s="3">
        <v>1024</v>
      </c>
      <c r="I59" s="3">
        <v>1024</v>
      </c>
      <c r="J59" s="2">
        <v>6.4935</v>
      </c>
      <c r="K59" s="2">
        <v>35.984999999999999</v>
      </c>
      <c r="L59" s="2">
        <v>30.247</v>
      </c>
      <c r="M59" s="2">
        <v>5.7380000000000004</v>
      </c>
      <c r="N59" s="2">
        <v>196.40899999999999</v>
      </c>
      <c r="O59" s="2">
        <v>37.26</v>
      </c>
      <c r="P59" s="2">
        <v>233.66900000000001</v>
      </c>
      <c r="Q59" s="2">
        <v>187.31</v>
      </c>
      <c r="R59" s="2">
        <v>35.533999999999999</v>
      </c>
      <c r="S59" s="2">
        <v>222.84399999999999</v>
      </c>
      <c r="T59" s="2">
        <v>84.05</v>
      </c>
      <c r="U59" s="2">
        <v>3.7772999999999999</v>
      </c>
      <c r="V59" s="2">
        <v>322.95999999999998</v>
      </c>
    </row>
    <row r="60" spans="1:22" x14ac:dyDescent="0.35">
      <c r="A60" s="2" t="s">
        <v>37</v>
      </c>
      <c r="B60" s="2" t="s">
        <v>46</v>
      </c>
      <c r="C60" s="2">
        <v>6</v>
      </c>
      <c r="D60" s="2" t="s">
        <v>72</v>
      </c>
      <c r="E60" s="2">
        <v>4</v>
      </c>
      <c r="F60" s="2" t="s">
        <v>73</v>
      </c>
      <c r="G60" s="3">
        <v>2359296</v>
      </c>
      <c r="H60" s="3">
        <v>3072</v>
      </c>
      <c r="I60" s="2">
        <v>768</v>
      </c>
      <c r="J60" s="2">
        <v>14.7399</v>
      </c>
      <c r="K60" s="2">
        <v>35.984999999999999</v>
      </c>
      <c r="L60" s="2">
        <v>30.247</v>
      </c>
      <c r="M60" s="2">
        <v>5.7380000000000004</v>
      </c>
      <c r="N60" s="2">
        <v>445.83800000000002</v>
      </c>
      <c r="O60" s="2">
        <v>84.578000000000003</v>
      </c>
      <c r="P60" s="2">
        <v>530.41499999999996</v>
      </c>
      <c r="Q60" s="2">
        <v>188.971</v>
      </c>
      <c r="R60" s="2">
        <v>35.848999999999997</v>
      </c>
      <c r="S60" s="2">
        <v>224.81899999999999</v>
      </c>
      <c r="T60" s="2">
        <v>84.05</v>
      </c>
      <c r="U60" s="2">
        <v>3.7921999999999998</v>
      </c>
      <c r="V60" s="2">
        <v>320.12</v>
      </c>
    </row>
    <row r="61" spans="1:22" x14ac:dyDescent="0.35">
      <c r="A61" s="2" t="s">
        <v>37</v>
      </c>
      <c r="B61" s="2" t="s">
        <v>46</v>
      </c>
      <c r="C61" s="2">
        <v>6</v>
      </c>
      <c r="D61" s="2" t="s">
        <v>74</v>
      </c>
      <c r="E61" s="2">
        <v>5</v>
      </c>
      <c r="F61" s="2" t="s">
        <v>75</v>
      </c>
      <c r="G61" s="3">
        <v>2359296</v>
      </c>
      <c r="H61" s="2">
        <v>768</v>
      </c>
      <c r="I61" s="3">
        <v>3072</v>
      </c>
      <c r="J61" s="2">
        <v>14.71</v>
      </c>
      <c r="K61" s="2">
        <v>35.984999999999999</v>
      </c>
      <c r="L61" s="2">
        <v>30.247</v>
      </c>
      <c r="M61" s="2">
        <v>5.7380000000000004</v>
      </c>
      <c r="N61" s="2">
        <v>444.93299999999999</v>
      </c>
      <c r="O61" s="2">
        <v>84.406000000000006</v>
      </c>
      <c r="P61" s="2">
        <v>529.33900000000006</v>
      </c>
      <c r="Q61" s="2">
        <v>188.58699999999999</v>
      </c>
      <c r="R61" s="2">
        <v>35.776000000000003</v>
      </c>
      <c r="S61" s="2">
        <v>224.363</v>
      </c>
      <c r="T61" s="2">
        <v>84.05</v>
      </c>
      <c r="U61" s="2">
        <v>3.8296000000000001</v>
      </c>
      <c r="V61" s="2">
        <v>320.77</v>
      </c>
    </row>
    <row r="62" spans="1:22" x14ac:dyDescent="0.35">
      <c r="A62" s="2" t="s">
        <v>37</v>
      </c>
      <c r="B62" s="2" t="s">
        <v>46</v>
      </c>
      <c r="C62" s="2">
        <v>6</v>
      </c>
      <c r="D62" s="2" t="s">
        <v>76</v>
      </c>
      <c r="E62" s="2">
        <v>6</v>
      </c>
      <c r="F62" s="2" t="s">
        <v>77</v>
      </c>
      <c r="G62" s="3">
        <v>4194304</v>
      </c>
      <c r="H62" s="3">
        <v>4096</v>
      </c>
      <c r="I62" s="3">
        <v>1024</v>
      </c>
      <c r="J62" s="2">
        <v>26.3139</v>
      </c>
      <c r="K62" s="2">
        <v>35.984999999999999</v>
      </c>
      <c r="L62" s="2">
        <v>30.247</v>
      </c>
      <c r="M62" s="2">
        <v>5.7380000000000004</v>
      </c>
      <c r="N62" s="2">
        <v>795.91700000000003</v>
      </c>
      <c r="O62" s="2">
        <v>150.989</v>
      </c>
      <c r="P62" s="2">
        <v>946.90599999999995</v>
      </c>
      <c r="Q62" s="2">
        <v>189.761</v>
      </c>
      <c r="R62" s="2">
        <v>35.999000000000002</v>
      </c>
      <c r="S62" s="2">
        <v>225.76</v>
      </c>
      <c r="T62" s="2">
        <v>84.05</v>
      </c>
      <c r="U62" s="2">
        <v>3.8109000000000002</v>
      </c>
      <c r="V62" s="2">
        <v>318.79000000000002</v>
      </c>
    </row>
    <row r="63" spans="1:22" x14ac:dyDescent="0.35">
      <c r="A63" s="2" t="s">
        <v>37</v>
      </c>
      <c r="B63" s="2" t="s">
        <v>46</v>
      </c>
      <c r="C63" s="2">
        <v>6</v>
      </c>
      <c r="D63" s="2" t="s">
        <v>78</v>
      </c>
      <c r="E63" s="2">
        <v>7</v>
      </c>
      <c r="F63" s="2" t="s">
        <v>79</v>
      </c>
      <c r="G63" s="3">
        <v>4194304</v>
      </c>
      <c r="H63" s="3">
        <v>1024</v>
      </c>
      <c r="I63" s="3">
        <v>4096</v>
      </c>
      <c r="J63" s="2">
        <v>26.0928</v>
      </c>
      <c r="K63" s="2">
        <v>35.984999999999999</v>
      </c>
      <c r="L63" s="2">
        <v>30.247</v>
      </c>
      <c r="M63" s="2">
        <v>5.7380000000000004</v>
      </c>
      <c r="N63" s="2">
        <v>789.22900000000004</v>
      </c>
      <c r="O63" s="2">
        <v>149.72</v>
      </c>
      <c r="P63" s="2">
        <v>938.94899999999996</v>
      </c>
      <c r="Q63" s="2">
        <v>188.167</v>
      </c>
      <c r="R63" s="2">
        <v>35.695999999999998</v>
      </c>
      <c r="S63" s="2">
        <v>223.863</v>
      </c>
      <c r="T63" s="2">
        <v>84.05</v>
      </c>
      <c r="U63" s="2">
        <v>3.8250999999999999</v>
      </c>
      <c r="V63" s="2">
        <v>321.49</v>
      </c>
    </row>
    <row r="64" spans="1:22" x14ac:dyDescent="0.35">
      <c r="A64" s="2" t="s">
        <v>37</v>
      </c>
      <c r="B64" s="2" t="s">
        <v>46</v>
      </c>
      <c r="C64" s="2">
        <v>6</v>
      </c>
      <c r="D64" s="2" t="s">
        <v>80</v>
      </c>
      <c r="E64" s="2">
        <v>8</v>
      </c>
      <c r="F64" s="2" t="s">
        <v>81</v>
      </c>
      <c r="G64" s="3">
        <v>4194304</v>
      </c>
      <c r="H64" s="3">
        <v>2048</v>
      </c>
      <c r="I64" s="3">
        <v>2048</v>
      </c>
      <c r="J64" s="2">
        <v>26.226600000000001</v>
      </c>
      <c r="K64" s="2">
        <v>35.984999999999999</v>
      </c>
      <c r="L64" s="2">
        <v>30.247</v>
      </c>
      <c r="M64" s="2">
        <v>5.7380000000000004</v>
      </c>
      <c r="N64" s="2">
        <v>793.27599999999995</v>
      </c>
      <c r="O64" s="2">
        <v>150.488</v>
      </c>
      <c r="P64" s="2">
        <v>943.76400000000001</v>
      </c>
      <c r="Q64" s="2">
        <v>189.13200000000001</v>
      </c>
      <c r="R64" s="2">
        <v>35.878999999999998</v>
      </c>
      <c r="S64" s="2">
        <v>225.011</v>
      </c>
      <c r="T64" s="2">
        <v>84.05</v>
      </c>
      <c r="U64" s="2">
        <v>3.7924000000000002</v>
      </c>
      <c r="V64" s="2">
        <v>319.85000000000002</v>
      </c>
    </row>
    <row r="65" spans="1:22" x14ac:dyDescent="0.35">
      <c r="A65" s="2" t="s">
        <v>37</v>
      </c>
      <c r="B65" s="2" t="s">
        <v>46</v>
      </c>
      <c r="C65" s="2">
        <v>6</v>
      </c>
      <c r="D65" s="2" t="s">
        <v>82</v>
      </c>
      <c r="E65" s="2">
        <v>9</v>
      </c>
      <c r="F65" s="2" t="s">
        <v>83</v>
      </c>
      <c r="G65" s="3">
        <v>16777216</v>
      </c>
      <c r="H65" s="3">
        <v>4096</v>
      </c>
      <c r="I65" s="3">
        <v>4096</v>
      </c>
      <c r="J65" s="2">
        <v>104.3351</v>
      </c>
      <c r="K65" s="2">
        <v>35.984999999999999</v>
      </c>
      <c r="L65" s="2">
        <v>30.247</v>
      </c>
      <c r="M65" s="2">
        <v>5.7380000000000004</v>
      </c>
      <c r="N65" s="2">
        <v>3155.8240000000001</v>
      </c>
      <c r="O65" s="2">
        <v>598.67499999999995</v>
      </c>
      <c r="P65" s="2">
        <v>3754.4989999999998</v>
      </c>
      <c r="Q65" s="2">
        <v>188.102</v>
      </c>
      <c r="R65" s="2">
        <v>35.683999999999997</v>
      </c>
      <c r="S65" s="2">
        <v>223.786</v>
      </c>
      <c r="T65" s="2">
        <v>84.05</v>
      </c>
      <c r="U65" s="2">
        <v>3.8279000000000001</v>
      </c>
      <c r="V65" s="2">
        <v>321.60000000000002</v>
      </c>
    </row>
    <row r="66" spans="1:22" x14ac:dyDescent="0.35">
      <c r="A66" s="2" t="s">
        <v>37</v>
      </c>
      <c r="B66" s="2" t="s">
        <v>46</v>
      </c>
      <c r="C66" s="2">
        <v>6</v>
      </c>
      <c r="D66" s="2" t="s">
        <v>84</v>
      </c>
      <c r="E66" s="2">
        <v>10</v>
      </c>
      <c r="F66" s="2" t="s">
        <v>85</v>
      </c>
      <c r="G66" s="3">
        <v>16777216</v>
      </c>
      <c r="H66" s="3">
        <v>8192</v>
      </c>
      <c r="I66" s="3">
        <v>2048</v>
      </c>
      <c r="J66" s="2">
        <v>106.1097</v>
      </c>
      <c r="K66" s="2">
        <v>35.984999999999999</v>
      </c>
      <c r="L66" s="2">
        <v>30.247</v>
      </c>
      <c r="M66" s="2">
        <v>5.7380000000000004</v>
      </c>
      <c r="N66" s="2">
        <v>3209.5</v>
      </c>
      <c r="O66" s="2">
        <v>608.85699999999997</v>
      </c>
      <c r="P66" s="2">
        <v>3818.3580000000002</v>
      </c>
      <c r="Q66" s="2">
        <v>191.30099999999999</v>
      </c>
      <c r="R66" s="2">
        <v>36.290999999999997</v>
      </c>
      <c r="S66" s="2">
        <v>227.59200000000001</v>
      </c>
      <c r="T66" s="2">
        <v>84.05</v>
      </c>
      <c r="U66" s="2">
        <v>3.7768999999999999</v>
      </c>
      <c r="V66" s="2">
        <v>316.22000000000003</v>
      </c>
    </row>
    <row r="67" spans="1:22" x14ac:dyDescent="0.35">
      <c r="A67" s="2" t="s">
        <v>37</v>
      </c>
      <c r="B67" s="2" t="s">
        <v>46</v>
      </c>
      <c r="C67" s="2">
        <v>6</v>
      </c>
      <c r="D67" s="2" t="s">
        <v>86</v>
      </c>
      <c r="E67" s="2">
        <v>11</v>
      </c>
      <c r="F67" s="2" t="s">
        <v>87</v>
      </c>
      <c r="G67" s="3">
        <v>16777216</v>
      </c>
      <c r="H67" s="3">
        <v>2048</v>
      </c>
      <c r="I67" s="3">
        <v>8192</v>
      </c>
      <c r="J67" s="2">
        <v>104.3028</v>
      </c>
      <c r="K67" s="2">
        <v>35.984999999999999</v>
      </c>
      <c r="L67" s="2">
        <v>30.247</v>
      </c>
      <c r="M67" s="2">
        <v>5.7380000000000004</v>
      </c>
      <c r="N67" s="2">
        <v>3154.8470000000002</v>
      </c>
      <c r="O67" s="2">
        <v>598.48900000000003</v>
      </c>
      <c r="P67" s="2">
        <v>3753.3359999999998</v>
      </c>
      <c r="Q67" s="2">
        <v>188.04400000000001</v>
      </c>
      <c r="R67" s="2">
        <v>35.673000000000002</v>
      </c>
      <c r="S67" s="2">
        <v>223.71600000000001</v>
      </c>
      <c r="T67" s="2">
        <v>84.05</v>
      </c>
      <c r="U67" s="2">
        <v>3.8485</v>
      </c>
      <c r="V67" s="2">
        <v>321.7</v>
      </c>
    </row>
  </sheetData>
  <autoFilter ref="A1:V67" xr:uid="{00000000-0009-0000-0000-000002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"/>
  <sheetViews>
    <sheetView zoomScale="40" zoomScaleNormal="4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1" customWidth="1"/>
    <col min="3" max="3" width="10" customWidth="1"/>
    <col min="4" max="4" width="16" customWidth="1"/>
    <col min="5" max="5" width="11" customWidth="1"/>
    <col min="6" max="8" width="10" customWidth="1"/>
    <col min="9" max="9" width="14" customWidth="1"/>
    <col min="10" max="10" width="15" customWidth="1"/>
    <col min="11" max="11" width="16" customWidth="1"/>
    <col min="12" max="12" width="17" customWidth="1"/>
    <col min="13" max="13" width="18" customWidth="1"/>
    <col min="14" max="14" width="12" customWidth="1"/>
    <col min="15" max="15" width="10" customWidth="1"/>
    <col min="16" max="16" width="19" customWidth="1"/>
    <col min="17" max="17" width="24" customWidth="1"/>
    <col min="18" max="18" width="17" customWidth="1"/>
    <col min="19" max="19" width="18" customWidth="1"/>
    <col min="20" max="20" width="15" customWidth="1"/>
    <col min="21" max="21" width="18" customWidth="1"/>
    <col min="22" max="22" width="16" customWidth="1"/>
    <col min="23" max="23" width="15" customWidth="1"/>
    <col min="24" max="24" width="11" customWidth="1"/>
    <col min="25" max="25" width="10" customWidth="1"/>
    <col min="26" max="26" width="20" customWidth="1"/>
    <col min="27" max="27" width="18" customWidth="1"/>
    <col min="28" max="28" width="19" customWidth="1"/>
    <col min="29" max="29" width="20" customWidth="1"/>
    <col min="30" max="30" width="23" customWidth="1"/>
    <col min="31" max="31" width="15" customWidth="1"/>
    <col min="32" max="32" width="16" customWidth="1"/>
    <col min="33" max="33" width="23" customWidth="1"/>
    <col min="34" max="34" width="30" customWidth="1"/>
  </cols>
  <sheetData>
    <row r="1" spans="1:3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s="2" t="s">
        <v>34</v>
      </c>
      <c r="B2" s="2">
        <v>300</v>
      </c>
      <c r="C2" s="2" t="s">
        <v>34</v>
      </c>
      <c r="D2" s="2">
        <v>1</v>
      </c>
      <c r="E2" s="2" t="s">
        <v>35</v>
      </c>
      <c r="F2" s="2">
        <v>3</v>
      </c>
      <c r="G2" s="3">
        <v>262144</v>
      </c>
      <c r="H2" s="3">
        <v>1024</v>
      </c>
      <c r="I2" s="3">
        <v>2097152</v>
      </c>
      <c r="J2" s="2">
        <v>8</v>
      </c>
      <c r="K2" s="2">
        <v>7745.5770000000002</v>
      </c>
      <c r="L2" s="2">
        <v>7735.473</v>
      </c>
      <c r="M2" s="2">
        <v>7754.049</v>
      </c>
      <c r="N2" s="2">
        <v>0.24</v>
      </c>
      <c r="O2" s="2">
        <v>33.844000000000001</v>
      </c>
      <c r="P2" s="2">
        <v>69.31</v>
      </c>
      <c r="Q2" s="2">
        <v>76.8</v>
      </c>
      <c r="R2" s="2">
        <v>90.3</v>
      </c>
      <c r="S2" s="2">
        <v>69.31</v>
      </c>
      <c r="T2" s="2">
        <v>69.31</v>
      </c>
      <c r="U2" s="2">
        <v>1</v>
      </c>
      <c r="X2" s="2">
        <v>8</v>
      </c>
      <c r="Y2" s="2">
        <v>512</v>
      </c>
      <c r="Z2" s="2">
        <v>0.13539999999999999</v>
      </c>
      <c r="AA2" s="2">
        <v>6990.5</v>
      </c>
      <c r="AB2" s="2">
        <v>0.90249999999999997</v>
      </c>
      <c r="AC2" s="2">
        <v>457.9</v>
      </c>
      <c r="AD2" s="2">
        <v>0.95920000000000005</v>
      </c>
      <c r="AE2" s="2">
        <v>4.08</v>
      </c>
      <c r="AF2" s="2">
        <v>34.659999999999997</v>
      </c>
      <c r="AG2" s="2">
        <v>0.13539999999999999</v>
      </c>
      <c r="AH2" s="2" t="s">
        <v>36</v>
      </c>
    </row>
    <row r="3" spans="1:34" x14ac:dyDescent="0.35">
      <c r="A3" s="2" t="s">
        <v>37</v>
      </c>
      <c r="B3" s="2">
        <v>300</v>
      </c>
      <c r="C3" s="2" t="s">
        <v>38</v>
      </c>
      <c r="D3" s="2">
        <v>2</v>
      </c>
      <c r="E3" s="2" t="s">
        <v>35</v>
      </c>
      <c r="F3" s="2">
        <v>6</v>
      </c>
      <c r="G3" s="3">
        <v>524288</v>
      </c>
      <c r="H3" s="3">
        <v>1024</v>
      </c>
      <c r="I3" s="3">
        <v>2097152</v>
      </c>
      <c r="J3" s="2">
        <v>4</v>
      </c>
      <c r="K3" s="2">
        <v>7826.5820000000003</v>
      </c>
      <c r="L3" s="2">
        <v>7799.7449999999999</v>
      </c>
      <c r="M3" s="2">
        <v>7858.8729999999996</v>
      </c>
      <c r="N3" s="2">
        <v>0.75800000000000001</v>
      </c>
      <c r="O3" s="2">
        <v>66.988</v>
      </c>
      <c r="P3" s="2">
        <v>94.32</v>
      </c>
      <c r="Q3" s="2">
        <v>105.6</v>
      </c>
      <c r="R3" s="2">
        <v>89.3</v>
      </c>
      <c r="S3" s="2">
        <v>137.19</v>
      </c>
      <c r="T3" s="2">
        <v>68.599999999999994</v>
      </c>
      <c r="U3" s="2">
        <v>1.9790000000000001</v>
      </c>
      <c r="V3" s="2">
        <v>2</v>
      </c>
      <c r="W3" s="2">
        <v>99</v>
      </c>
      <c r="X3" s="2">
        <v>11</v>
      </c>
      <c r="Y3" s="2">
        <v>512</v>
      </c>
      <c r="Z3" s="2">
        <v>0.26800000000000002</v>
      </c>
      <c r="AA3" s="2">
        <v>6990.5</v>
      </c>
      <c r="AB3" s="2">
        <v>0.89319999999999999</v>
      </c>
      <c r="AC3" s="2">
        <v>619.1</v>
      </c>
      <c r="AD3" s="2">
        <v>0.96989999999999998</v>
      </c>
      <c r="AE3" s="2">
        <v>3.01</v>
      </c>
      <c r="AF3" s="2">
        <v>34.299999999999997</v>
      </c>
      <c r="AG3" s="2">
        <v>0.13400000000000001</v>
      </c>
      <c r="AH3" s="2" t="s">
        <v>39</v>
      </c>
    </row>
    <row r="4" spans="1:34" x14ac:dyDescent="0.35">
      <c r="A4" s="2" t="s">
        <v>37</v>
      </c>
      <c r="B4" s="2">
        <v>300</v>
      </c>
      <c r="C4" s="2" t="s">
        <v>40</v>
      </c>
      <c r="D4" s="2">
        <v>3</v>
      </c>
      <c r="E4" s="2" t="s">
        <v>35</v>
      </c>
      <c r="F4" s="2">
        <v>6</v>
      </c>
      <c r="G4" s="3">
        <v>1048576</v>
      </c>
      <c r="H4" s="3">
        <v>1024</v>
      </c>
      <c r="I4" s="3">
        <v>2097152</v>
      </c>
      <c r="J4" s="2">
        <v>2</v>
      </c>
      <c r="K4" s="2">
        <v>7849.0990000000002</v>
      </c>
      <c r="L4" s="2">
        <v>7748.4340000000002</v>
      </c>
      <c r="M4" s="2">
        <v>7905.2049999999999</v>
      </c>
      <c r="N4" s="2">
        <v>2.0230000000000001</v>
      </c>
      <c r="O4" s="2">
        <v>133.59200000000001</v>
      </c>
      <c r="P4" s="2">
        <v>94.05</v>
      </c>
      <c r="Q4" s="2">
        <v>105.6</v>
      </c>
      <c r="R4" s="2">
        <v>89.1</v>
      </c>
      <c r="S4" s="2">
        <v>273.60000000000002</v>
      </c>
      <c r="T4" s="2">
        <v>68.400000000000006</v>
      </c>
      <c r="U4" s="2">
        <v>3.9470000000000001</v>
      </c>
      <c r="V4" s="2">
        <v>4</v>
      </c>
      <c r="W4" s="2">
        <v>98.7</v>
      </c>
      <c r="X4" s="2">
        <v>11</v>
      </c>
      <c r="Y4" s="2">
        <v>512</v>
      </c>
      <c r="Z4" s="2">
        <v>0.53439999999999999</v>
      </c>
      <c r="AA4" s="2">
        <v>6990.5</v>
      </c>
      <c r="AB4" s="2">
        <v>0.89059999999999995</v>
      </c>
      <c r="AC4" s="2">
        <v>569.5</v>
      </c>
      <c r="AD4" s="2">
        <v>0.96030000000000004</v>
      </c>
      <c r="AE4" s="2">
        <v>3.97</v>
      </c>
      <c r="AF4" s="2">
        <v>34.200000000000003</v>
      </c>
      <c r="AG4" s="2">
        <v>0.1336</v>
      </c>
      <c r="AH4" s="2" t="s">
        <v>41</v>
      </c>
    </row>
    <row r="5" spans="1:34" x14ac:dyDescent="0.35">
      <c r="A5" s="2" t="s">
        <v>37</v>
      </c>
      <c r="B5" s="2">
        <v>300</v>
      </c>
      <c r="C5" s="2" t="s">
        <v>42</v>
      </c>
      <c r="D5" s="2">
        <v>4</v>
      </c>
      <c r="E5" s="2" t="s">
        <v>35</v>
      </c>
      <c r="F5" s="2">
        <v>6</v>
      </c>
      <c r="G5" s="3">
        <v>2097152</v>
      </c>
      <c r="H5" s="3">
        <v>1024</v>
      </c>
      <c r="I5" s="3">
        <v>2097152</v>
      </c>
      <c r="J5" s="2">
        <v>1</v>
      </c>
      <c r="K5" s="2">
        <v>7910.9</v>
      </c>
      <c r="L5" s="2">
        <v>7779.5940000000001</v>
      </c>
      <c r="M5" s="2">
        <v>7978.2259999999997</v>
      </c>
      <c r="N5" s="2">
        <v>2.5529999999999999</v>
      </c>
      <c r="O5" s="2">
        <v>265.096</v>
      </c>
      <c r="P5" s="2">
        <v>93.31</v>
      </c>
      <c r="Q5" s="2">
        <v>105.6</v>
      </c>
      <c r="R5" s="2">
        <v>88.4</v>
      </c>
      <c r="S5" s="2">
        <v>542.91999999999996</v>
      </c>
      <c r="T5" s="2">
        <v>67.86</v>
      </c>
      <c r="U5" s="2">
        <v>7.8330000000000002</v>
      </c>
      <c r="V5" s="2">
        <v>8</v>
      </c>
      <c r="W5" s="2">
        <v>97.9</v>
      </c>
      <c r="X5" s="2">
        <v>11</v>
      </c>
      <c r="Y5" s="2">
        <v>512</v>
      </c>
      <c r="Z5" s="2">
        <v>1.0604</v>
      </c>
      <c r="AA5" s="2">
        <v>6990.5</v>
      </c>
      <c r="AB5" s="2">
        <v>0.88370000000000004</v>
      </c>
      <c r="AC5" s="2">
        <v>603.70000000000005</v>
      </c>
      <c r="AD5" s="2">
        <v>0.95669999999999999</v>
      </c>
      <c r="AE5" s="2">
        <v>4.33</v>
      </c>
      <c r="AF5" s="2">
        <v>33.93</v>
      </c>
      <c r="AG5" s="2">
        <v>0.13250000000000001</v>
      </c>
      <c r="AH5" s="2" t="s">
        <v>43</v>
      </c>
    </row>
    <row r="6" spans="1:34" x14ac:dyDescent="0.35">
      <c r="A6" s="2" t="s">
        <v>37</v>
      </c>
      <c r="B6" s="2">
        <v>300</v>
      </c>
      <c r="C6" s="2" t="s">
        <v>44</v>
      </c>
      <c r="D6" s="2">
        <v>5</v>
      </c>
      <c r="E6" s="2" t="s">
        <v>35</v>
      </c>
      <c r="F6" s="2">
        <v>6</v>
      </c>
      <c r="G6" s="3">
        <v>4194304</v>
      </c>
      <c r="H6" s="3">
        <v>1024</v>
      </c>
      <c r="I6" s="3">
        <v>2097152</v>
      </c>
      <c r="J6" s="2">
        <v>0.5</v>
      </c>
      <c r="K6" s="2">
        <v>8005.26</v>
      </c>
      <c r="L6" s="2">
        <v>7886.723</v>
      </c>
      <c r="M6" s="2">
        <v>8122.8580000000002</v>
      </c>
      <c r="N6" s="2">
        <v>2.9940000000000002</v>
      </c>
      <c r="O6" s="2">
        <v>523.94399999999996</v>
      </c>
      <c r="P6" s="2">
        <v>92.21</v>
      </c>
      <c r="Q6" s="2">
        <v>105.6</v>
      </c>
      <c r="R6" s="2">
        <v>87.3</v>
      </c>
      <c r="S6" s="2">
        <v>1073.04</v>
      </c>
      <c r="T6" s="2">
        <v>67.06</v>
      </c>
      <c r="U6" s="2">
        <v>15.481</v>
      </c>
      <c r="V6" s="2">
        <v>16</v>
      </c>
      <c r="W6" s="2">
        <v>96.8</v>
      </c>
      <c r="X6" s="2">
        <v>11</v>
      </c>
      <c r="Y6" s="2">
        <v>512</v>
      </c>
      <c r="Z6" s="2">
        <v>2.0958000000000001</v>
      </c>
      <c r="AA6" s="2">
        <v>6990.5</v>
      </c>
      <c r="AB6" s="2">
        <v>0.87319999999999998</v>
      </c>
      <c r="AC6" s="2">
        <v>685.5</v>
      </c>
      <c r="AD6" s="2">
        <v>0.95499999999999996</v>
      </c>
      <c r="AE6" s="2">
        <v>4.5</v>
      </c>
      <c r="AF6" s="2">
        <v>33.53</v>
      </c>
      <c r="AG6" s="2">
        <v>0.13100000000000001</v>
      </c>
      <c r="AH6" s="2" t="s">
        <v>45</v>
      </c>
    </row>
    <row r="7" spans="1:34" x14ac:dyDescent="0.35">
      <c r="A7" s="2" t="s">
        <v>37</v>
      </c>
      <c r="B7" s="2">
        <v>300</v>
      </c>
      <c r="C7" s="2" t="s">
        <v>46</v>
      </c>
      <c r="D7" s="2">
        <v>6</v>
      </c>
      <c r="E7" s="2" t="s">
        <v>35</v>
      </c>
      <c r="F7" s="2">
        <v>6</v>
      </c>
      <c r="G7" s="3">
        <v>1048576</v>
      </c>
      <c r="H7" s="3">
        <v>1024</v>
      </c>
      <c r="I7" s="3">
        <v>1966080</v>
      </c>
      <c r="J7" s="2">
        <v>1.875</v>
      </c>
      <c r="K7" s="2">
        <v>7444.9059999999999</v>
      </c>
      <c r="L7" s="2">
        <v>7232.3630000000003</v>
      </c>
      <c r="M7" s="2">
        <v>7641.0870000000004</v>
      </c>
      <c r="N7" s="2">
        <v>5.6509999999999998</v>
      </c>
      <c r="O7" s="2">
        <v>140.845</v>
      </c>
      <c r="P7" s="2">
        <v>92.96</v>
      </c>
      <c r="Q7" s="2">
        <v>105.6</v>
      </c>
      <c r="R7" s="2">
        <v>88</v>
      </c>
      <c r="S7" s="2">
        <v>288.45</v>
      </c>
      <c r="T7" s="2">
        <v>67.61</v>
      </c>
      <c r="U7" s="2">
        <v>4.1619999999999999</v>
      </c>
      <c r="X7" s="2">
        <v>11</v>
      </c>
      <c r="Y7" s="2">
        <v>512</v>
      </c>
      <c r="Z7" s="2">
        <v>0.56340000000000001</v>
      </c>
      <c r="AA7" s="2">
        <v>6553.6</v>
      </c>
      <c r="AB7" s="2">
        <v>0.88029999999999997</v>
      </c>
      <c r="AC7" s="2">
        <v>684</v>
      </c>
      <c r="AD7" s="2">
        <v>0.96930000000000005</v>
      </c>
      <c r="AE7" s="2">
        <v>3.07</v>
      </c>
      <c r="AF7" s="2">
        <v>33.799999999999997</v>
      </c>
      <c r="AG7" s="2">
        <v>0.1321</v>
      </c>
      <c r="AH7" s="2" t="s">
        <v>47</v>
      </c>
    </row>
    <row r="8" spans="1:34" x14ac:dyDescent="0.35">
      <c r="A8" s="2" t="s">
        <v>34</v>
      </c>
      <c r="B8" s="2">
        <v>325</v>
      </c>
      <c r="C8" s="2" t="s">
        <v>34</v>
      </c>
      <c r="D8" s="2">
        <v>1</v>
      </c>
      <c r="E8" s="2" t="s">
        <v>35</v>
      </c>
      <c r="F8" s="2">
        <v>3</v>
      </c>
      <c r="G8" s="3">
        <v>262144</v>
      </c>
      <c r="H8" s="3">
        <v>1024</v>
      </c>
      <c r="I8" s="3">
        <v>2097152</v>
      </c>
      <c r="J8" s="2">
        <v>8</v>
      </c>
      <c r="K8" s="2">
        <v>7130.17</v>
      </c>
      <c r="L8" s="2">
        <v>7116.7939999999999</v>
      </c>
      <c r="M8" s="2">
        <v>7141.5190000000002</v>
      </c>
      <c r="N8" s="2">
        <v>0.34699999999999998</v>
      </c>
      <c r="O8" s="2">
        <v>36.765000000000001</v>
      </c>
      <c r="P8" s="2">
        <v>75.3</v>
      </c>
      <c r="Q8" s="2">
        <v>83.2</v>
      </c>
      <c r="R8" s="2">
        <v>90.5</v>
      </c>
      <c r="S8" s="2">
        <v>75.3</v>
      </c>
      <c r="T8" s="2">
        <v>75.3</v>
      </c>
      <c r="U8" s="2">
        <v>1</v>
      </c>
      <c r="X8" s="2">
        <v>8</v>
      </c>
      <c r="Y8" s="2">
        <v>512</v>
      </c>
      <c r="Z8" s="2">
        <v>0.14710000000000001</v>
      </c>
      <c r="AA8" s="2">
        <v>6452.8</v>
      </c>
      <c r="AB8" s="2">
        <v>0.90500000000000003</v>
      </c>
      <c r="AC8" s="2">
        <v>457.9</v>
      </c>
      <c r="AD8" s="2">
        <v>0.96709999999999996</v>
      </c>
      <c r="AE8" s="2">
        <v>3.29</v>
      </c>
      <c r="AF8" s="2">
        <v>37.65</v>
      </c>
      <c r="AG8" s="2">
        <v>0.14710000000000001</v>
      </c>
      <c r="AH8" s="2" t="s">
        <v>48</v>
      </c>
    </row>
    <row r="9" spans="1:34" x14ac:dyDescent="0.35">
      <c r="A9" s="2" t="s">
        <v>37</v>
      </c>
      <c r="B9" s="2">
        <v>325</v>
      </c>
      <c r="C9" s="2" t="s">
        <v>38</v>
      </c>
      <c r="D9" s="2">
        <v>2</v>
      </c>
      <c r="E9" s="2" t="s">
        <v>35</v>
      </c>
      <c r="F9" s="2">
        <v>3</v>
      </c>
      <c r="G9" s="3">
        <v>524288</v>
      </c>
      <c r="H9" s="3">
        <v>1024</v>
      </c>
      <c r="I9" s="3">
        <v>2097152</v>
      </c>
      <c r="J9" s="2">
        <v>4</v>
      </c>
      <c r="K9" s="2">
        <v>7306.0619999999999</v>
      </c>
      <c r="L9" s="2">
        <v>7233.5330000000004</v>
      </c>
      <c r="M9" s="2">
        <v>7346.6120000000001</v>
      </c>
      <c r="N9" s="2">
        <v>1.5629999999999999</v>
      </c>
      <c r="O9" s="2">
        <v>71.760999999999996</v>
      </c>
      <c r="P9" s="2">
        <v>101.04</v>
      </c>
      <c r="Q9" s="2">
        <v>114.4</v>
      </c>
      <c r="R9" s="2">
        <v>88.3</v>
      </c>
      <c r="S9" s="2">
        <v>146.97</v>
      </c>
      <c r="T9" s="2">
        <v>73.48</v>
      </c>
      <c r="U9" s="2">
        <v>1.952</v>
      </c>
      <c r="V9" s="2">
        <v>2</v>
      </c>
      <c r="W9" s="2">
        <v>97.6</v>
      </c>
      <c r="X9" s="2">
        <v>11</v>
      </c>
      <c r="Y9" s="2">
        <v>512</v>
      </c>
      <c r="Z9" s="2">
        <v>0.28699999999999998</v>
      </c>
      <c r="AA9" s="2">
        <v>6452.8</v>
      </c>
      <c r="AB9" s="2">
        <v>0.88319999999999999</v>
      </c>
      <c r="AC9" s="2">
        <v>619.1</v>
      </c>
      <c r="AD9" s="2">
        <v>0.96499999999999997</v>
      </c>
      <c r="AE9" s="2">
        <v>3.5</v>
      </c>
      <c r="AF9" s="2">
        <v>36.74</v>
      </c>
      <c r="AG9" s="2">
        <v>0.14349999999999999</v>
      </c>
      <c r="AH9" s="2" t="s">
        <v>49</v>
      </c>
    </row>
    <row r="10" spans="1:34" x14ac:dyDescent="0.35">
      <c r="A10" s="2" t="s">
        <v>37</v>
      </c>
      <c r="B10" s="2">
        <v>325</v>
      </c>
      <c r="C10" s="2" t="s">
        <v>40</v>
      </c>
      <c r="D10" s="2">
        <v>3</v>
      </c>
      <c r="E10" s="2" t="s">
        <v>35</v>
      </c>
      <c r="F10" s="2">
        <v>3</v>
      </c>
      <c r="G10" s="3">
        <v>1048576</v>
      </c>
      <c r="H10" s="3">
        <v>1024</v>
      </c>
      <c r="I10" s="3">
        <v>2097152</v>
      </c>
      <c r="J10" s="2">
        <v>2</v>
      </c>
      <c r="K10" s="2">
        <v>7318.1909999999998</v>
      </c>
      <c r="L10" s="2">
        <v>7261.8519999999999</v>
      </c>
      <c r="M10" s="2">
        <v>7357.3190000000004</v>
      </c>
      <c r="N10" s="2">
        <v>1.3149999999999999</v>
      </c>
      <c r="O10" s="2">
        <v>143.28299999999999</v>
      </c>
      <c r="P10" s="2">
        <v>100.87</v>
      </c>
      <c r="Q10" s="2">
        <v>114.4</v>
      </c>
      <c r="R10" s="2">
        <v>88.2</v>
      </c>
      <c r="S10" s="2">
        <v>293.44</v>
      </c>
      <c r="T10" s="2">
        <v>73.36</v>
      </c>
      <c r="U10" s="2">
        <v>3.8969999999999998</v>
      </c>
      <c r="V10" s="2">
        <v>4</v>
      </c>
      <c r="W10" s="2">
        <v>97.4</v>
      </c>
      <c r="X10" s="2">
        <v>11</v>
      </c>
      <c r="Y10" s="2">
        <v>512</v>
      </c>
      <c r="Z10" s="2">
        <v>0.57310000000000005</v>
      </c>
      <c r="AA10" s="2">
        <v>6452.8</v>
      </c>
      <c r="AB10" s="2">
        <v>0.88170000000000004</v>
      </c>
      <c r="AC10" s="2">
        <v>569.5</v>
      </c>
      <c r="AD10" s="2">
        <v>0.95620000000000005</v>
      </c>
      <c r="AE10" s="2">
        <v>4.38</v>
      </c>
      <c r="AF10" s="2">
        <v>36.68</v>
      </c>
      <c r="AG10" s="2">
        <v>0.14330000000000001</v>
      </c>
      <c r="AH10" s="2" t="s">
        <v>50</v>
      </c>
    </row>
    <row r="11" spans="1:34" x14ac:dyDescent="0.35">
      <c r="A11" s="2" t="s">
        <v>37</v>
      </c>
      <c r="B11" s="2">
        <v>325</v>
      </c>
      <c r="C11" s="2" t="s">
        <v>42</v>
      </c>
      <c r="D11" s="2">
        <v>4</v>
      </c>
      <c r="E11" s="2" t="s">
        <v>35</v>
      </c>
      <c r="F11" s="2">
        <v>3</v>
      </c>
      <c r="G11" s="3">
        <v>2097152</v>
      </c>
      <c r="H11" s="3">
        <v>1024</v>
      </c>
      <c r="I11" s="3">
        <v>2097152</v>
      </c>
      <c r="J11" s="2">
        <v>1</v>
      </c>
      <c r="K11" s="2">
        <v>7340.9369999999999</v>
      </c>
      <c r="L11" s="2">
        <v>7239.7280000000001</v>
      </c>
      <c r="M11" s="2">
        <v>7404.4269999999997</v>
      </c>
      <c r="N11" s="2">
        <v>2.2749999999999999</v>
      </c>
      <c r="O11" s="2">
        <v>285.67899999999997</v>
      </c>
      <c r="P11" s="2">
        <v>100.56</v>
      </c>
      <c r="Q11" s="2">
        <v>114.4</v>
      </c>
      <c r="R11" s="2">
        <v>87.9</v>
      </c>
      <c r="S11" s="2">
        <v>585.07000000000005</v>
      </c>
      <c r="T11" s="2">
        <v>73.13</v>
      </c>
      <c r="U11" s="2">
        <v>7.77</v>
      </c>
      <c r="V11" s="2">
        <v>8</v>
      </c>
      <c r="W11" s="2">
        <v>97.1</v>
      </c>
      <c r="X11" s="2">
        <v>11</v>
      </c>
      <c r="Y11" s="2">
        <v>512</v>
      </c>
      <c r="Z11" s="2">
        <v>1.1427</v>
      </c>
      <c r="AA11" s="2">
        <v>6452.8</v>
      </c>
      <c r="AB11" s="2">
        <v>0.879</v>
      </c>
      <c r="AC11" s="2">
        <v>603.70000000000005</v>
      </c>
      <c r="AD11" s="2">
        <v>0.95779999999999998</v>
      </c>
      <c r="AE11" s="2">
        <v>4.22</v>
      </c>
      <c r="AF11" s="2">
        <v>36.57</v>
      </c>
      <c r="AG11" s="2">
        <v>0.14280000000000001</v>
      </c>
      <c r="AH11" s="2" t="s">
        <v>51</v>
      </c>
    </row>
    <row r="12" spans="1:34" x14ac:dyDescent="0.35">
      <c r="A12" s="2" t="s">
        <v>37</v>
      </c>
      <c r="B12" s="2">
        <v>325</v>
      </c>
      <c r="C12" s="2" t="s">
        <v>44</v>
      </c>
      <c r="D12" s="2">
        <v>5</v>
      </c>
      <c r="E12" s="2" t="s">
        <v>35</v>
      </c>
      <c r="F12" s="2">
        <v>3</v>
      </c>
      <c r="G12" s="3">
        <v>4194304</v>
      </c>
      <c r="H12" s="3">
        <v>1024</v>
      </c>
      <c r="I12" s="3">
        <v>2097152</v>
      </c>
      <c r="J12" s="2">
        <v>0.5</v>
      </c>
      <c r="K12" s="2">
        <v>7511.8879999999999</v>
      </c>
      <c r="L12" s="2">
        <v>7482.8580000000002</v>
      </c>
      <c r="M12" s="2">
        <v>7546.3980000000001</v>
      </c>
      <c r="N12" s="2">
        <v>0.84899999999999998</v>
      </c>
      <c r="O12" s="2">
        <v>558.35500000000002</v>
      </c>
      <c r="P12" s="2">
        <v>98.27</v>
      </c>
      <c r="Q12" s="2">
        <v>114.4</v>
      </c>
      <c r="R12" s="2">
        <v>85.9</v>
      </c>
      <c r="S12" s="2">
        <v>1143.51</v>
      </c>
      <c r="T12" s="2">
        <v>71.47</v>
      </c>
      <c r="U12" s="2">
        <v>15.186999999999999</v>
      </c>
      <c r="V12" s="2">
        <v>16</v>
      </c>
      <c r="W12" s="2">
        <v>94.9</v>
      </c>
      <c r="X12" s="2">
        <v>11</v>
      </c>
      <c r="Y12" s="2">
        <v>512</v>
      </c>
      <c r="Z12" s="2">
        <v>2.2334000000000001</v>
      </c>
      <c r="AA12" s="2">
        <v>6452.8</v>
      </c>
      <c r="AB12" s="2">
        <v>0.85899999999999999</v>
      </c>
      <c r="AC12" s="2">
        <v>685.5</v>
      </c>
      <c r="AD12" s="2">
        <v>0.94530000000000003</v>
      </c>
      <c r="AE12" s="2">
        <v>5.47</v>
      </c>
      <c r="AF12" s="2">
        <v>35.729999999999997</v>
      </c>
      <c r="AG12" s="2">
        <v>0.1396</v>
      </c>
      <c r="AH12" s="2" t="s">
        <v>52</v>
      </c>
    </row>
    <row r="13" spans="1:34" x14ac:dyDescent="0.35">
      <c r="A13" s="2" t="s">
        <v>37</v>
      </c>
      <c r="B13" s="2">
        <v>325</v>
      </c>
      <c r="C13" s="2" t="s">
        <v>46</v>
      </c>
      <c r="D13" s="2">
        <v>6</v>
      </c>
      <c r="E13" s="2" t="s">
        <v>35</v>
      </c>
      <c r="F13" s="2">
        <v>3</v>
      </c>
      <c r="G13" s="3">
        <v>1048576</v>
      </c>
      <c r="H13" s="3">
        <v>1024</v>
      </c>
      <c r="I13" s="3">
        <v>1966080</v>
      </c>
      <c r="J13" s="2">
        <v>1.875</v>
      </c>
      <c r="K13" s="2">
        <v>6917.7790000000005</v>
      </c>
      <c r="L13" s="2">
        <v>6881.0789999999997</v>
      </c>
      <c r="M13" s="2">
        <v>6938.3829999999998</v>
      </c>
      <c r="N13" s="2">
        <v>0.83299999999999996</v>
      </c>
      <c r="O13" s="2">
        <v>151.577</v>
      </c>
      <c r="P13" s="2">
        <v>100.04</v>
      </c>
      <c r="Q13" s="2">
        <v>114.4</v>
      </c>
      <c r="R13" s="2">
        <v>87.4</v>
      </c>
      <c r="S13" s="2">
        <v>310.43</v>
      </c>
      <c r="T13" s="2">
        <v>72.760000000000005</v>
      </c>
      <c r="U13" s="2">
        <v>4.1230000000000002</v>
      </c>
      <c r="X13" s="2">
        <v>11</v>
      </c>
      <c r="Y13" s="2">
        <v>512</v>
      </c>
      <c r="Z13" s="2">
        <v>0.60629999999999995</v>
      </c>
      <c r="AA13" s="2">
        <v>6049.5</v>
      </c>
      <c r="AB13" s="2">
        <v>0.87450000000000006</v>
      </c>
      <c r="AC13" s="2">
        <v>684</v>
      </c>
      <c r="AD13" s="2">
        <v>0.97040000000000004</v>
      </c>
      <c r="AE13" s="2">
        <v>2.96</v>
      </c>
      <c r="AF13" s="2">
        <v>36.380000000000003</v>
      </c>
      <c r="AG13" s="2">
        <v>0.1421</v>
      </c>
      <c r="AH13" s="2" t="s">
        <v>53</v>
      </c>
    </row>
  </sheetData>
  <autoFilter ref="A1:AH13" xr:uid="{00000000-0009-0000-0000-000000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3"/>
  <sheetViews>
    <sheetView zoomScale="40" zoomScaleNormal="40" workbookViewId="0">
      <pane ySplit="1" topLeftCell="A2" activePane="bottomLeft" state="frozen"/>
      <selection pane="bottomLeft" activeCell="H83" sqref="H83"/>
    </sheetView>
  </sheetViews>
  <sheetFormatPr defaultRowHeight="14.5" x14ac:dyDescent="0.35"/>
  <cols>
    <col min="1" max="3" width="10" customWidth="1"/>
    <col min="4" max="4" width="12" customWidth="1"/>
    <col min="5" max="5" width="17" customWidth="1"/>
    <col min="6" max="6" width="13" customWidth="1"/>
    <col min="7" max="7" width="16" customWidth="1"/>
    <col min="8" max="10" width="10" customWidth="1"/>
    <col min="11" max="11" width="18" customWidth="1"/>
    <col min="12" max="12" width="10" customWidth="1"/>
    <col min="13" max="13" width="23" customWidth="1"/>
    <col min="14" max="14" width="21" customWidth="1"/>
    <col min="15" max="15" width="15" customWidth="1"/>
    <col min="16" max="16" width="18" customWidth="1"/>
    <col min="17" max="18" width="15" customWidth="1"/>
    <col min="19" max="19" width="18" customWidth="1"/>
    <col min="20" max="20" width="20" customWidth="1"/>
    <col min="21" max="21" width="16" customWidth="1"/>
    <col min="22" max="22" width="15" customWidth="1"/>
    <col min="23" max="23" width="12" customWidth="1"/>
  </cols>
  <sheetData>
    <row r="1" spans="1:24" ht="30" customHeight="1" x14ac:dyDescent="0.35">
      <c r="A1" s="1" t="s">
        <v>0</v>
      </c>
      <c r="B1" s="1" t="s">
        <v>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3</v>
      </c>
      <c r="H1" s="1" t="s">
        <v>6</v>
      </c>
      <c r="I1" s="1" t="s">
        <v>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18</v>
      </c>
      <c r="Q1" s="1" t="s">
        <v>19</v>
      </c>
      <c r="R1" s="1" t="s">
        <v>64</v>
      </c>
      <c r="S1" s="1" t="s">
        <v>20</v>
      </c>
      <c r="T1" s="1" t="s">
        <v>65</v>
      </c>
      <c r="U1" s="1" t="s">
        <v>21</v>
      </c>
      <c r="V1" s="1" t="s">
        <v>22</v>
      </c>
      <c r="W1" s="1" t="s">
        <v>13</v>
      </c>
      <c r="X1" s="1" t="s">
        <v>194</v>
      </c>
    </row>
    <row r="2" spans="1:24" x14ac:dyDescent="0.35">
      <c r="A2" s="2" t="s">
        <v>34</v>
      </c>
      <c r="B2" s="2" t="s">
        <v>34</v>
      </c>
      <c r="C2" s="2" t="s">
        <v>66</v>
      </c>
      <c r="D2" s="2" t="s">
        <v>67</v>
      </c>
      <c r="E2" s="3">
        <v>262144</v>
      </c>
      <c r="F2" s="2">
        <v>1</v>
      </c>
      <c r="G2" s="2">
        <v>1</v>
      </c>
      <c r="H2" s="2">
        <v>512</v>
      </c>
      <c r="I2" s="2">
        <v>512</v>
      </c>
      <c r="J2" s="2">
        <v>16</v>
      </c>
      <c r="K2" s="3">
        <v>2048</v>
      </c>
      <c r="L2" s="3">
        <v>1024</v>
      </c>
      <c r="M2" s="2">
        <v>7.0757000000000003</v>
      </c>
      <c r="N2" s="2">
        <v>6.8266999999999998</v>
      </c>
      <c r="O2" s="2">
        <v>0.96479999999999999</v>
      </c>
      <c r="P2" s="2">
        <v>74.099999999999994</v>
      </c>
      <c r="Q2" s="2">
        <v>74.099999999999994</v>
      </c>
      <c r="R2" s="2">
        <v>74.099999999999994</v>
      </c>
      <c r="S2" s="2">
        <v>1</v>
      </c>
      <c r="T2" s="2">
        <v>1</v>
      </c>
      <c r="W2" s="2">
        <v>0.49399999999999999</v>
      </c>
      <c r="X2" s="2" t="s">
        <v>195</v>
      </c>
    </row>
    <row r="3" spans="1:24" x14ac:dyDescent="0.35">
      <c r="A3" s="2" t="s">
        <v>34</v>
      </c>
      <c r="B3" s="2" t="s">
        <v>34</v>
      </c>
      <c r="C3" s="2" t="s">
        <v>68</v>
      </c>
      <c r="D3" s="2" t="s">
        <v>69</v>
      </c>
      <c r="E3" s="3">
        <v>589824</v>
      </c>
      <c r="F3" s="2">
        <v>2</v>
      </c>
      <c r="G3" s="2">
        <v>1</v>
      </c>
      <c r="H3" s="2">
        <v>768</v>
      </c>
      <c r="I3" s="2">
        <v>768</v>
      </c>
      <c r="J3" s="2">
        <v>24</v>
      </c>
      <c r="K3" s="3">
        <v>4608</v>
      </c>
      <c r="L3" s="2">
        <v>456</v>
      </c>
      <c r="M3" s="2">
        <v>16.036000000000001</v>
      </c>
      <c r="N3" s="2">
        <v>15.36</v>
      </c>
      <c r="O3" s="2">
        <v>0.95779999999999998</v>
      </c>
      <c r="P3" s="2">
        <v>73.56</v>
      </c>
      <c r="Q3" s="2">
        <v>73.56</v>
      </c>
      <c r="R3" s="2">
        <v>73.56</v>
      </c>
      <c r="S3" s="2">
        <v>1</v>
      </c>
      <c r="T3" s="2">
        <v>1</v>
      </c>
      <c r="W3" s="2">
        <v>1.3839999999999999</v>
      </c>
      <c r="X3" s="2" t="s">
        <v>195</v>
      </c>
    </row>
    <row r="4" spans="1:24" x14ac:dyDescent="0.35">
      <c r="A4" s="2" t="s">
        <v>34</v>
      </c>
      <c r="B4" s="2" t="s">
        <v>34</v>
      </c>
      <c r="C4" s="2" t="s">
        <v>70</v>
      </c>
      <c r="D4" s="2" t="s">
        <v>71</v>
      </c>
      <c r="E4" s="3">
        <v>1048576</v>
      </c>
      <c r="F4" s="2">
        <v>3</v>
      </c>
      <c r="G4" s="2">
        <v>1</v>
      </c>
      <c r="H4" s="3">
        <v>1024</v>
      </c>
      <c r="I4" s="3">
        <v>1024</v>
      </c>
      <c r="J4" s="2">
        <v>32</v>
      </c>
      <c r="K4" s="3">
        <v>8192</v>
      </c>
      <c r="L4" s="2">
        <v>256</v>
      </c>
      <c r="M4" s="2">
        <v>27.784800000000001</v>
      </c>
      <c r="N4" s="2">
        <v>27.306699999999999</v>
      </c>
      <c r="O4" s="2">
        <v>0.98280000000000001</v>
      </c>
      <c r="P4" s="2">
        <v>75.48</v>
      </c>
      <c r="Q4" s="2">
        <v>75.48</v>
      </c>
      <c r="R4" s="2">
        <v>75.48</v>
      </c>
      <c r="S4" s="2">
        <v>1</v>
      </c>
      <c r="T4" s="2">
        <v>1</v>
      </c>
      <c r="W4" s="2">
        <v>2.95</v>
      </c>
      <c r="X4" s="2" t="s">
        <v>195</v>
      </c>
    </row>
    <row r="5" spans="1:24" x14ac:dyDescent="0.35">
      <c r="A5" s="2" t="s">
        <v>34</v>
      </c>
      <c r="B5" s="2" t="s">
        <v>34</v>
      </c>
      <c r="C5" s="2" t="s">
        <v>72</v>
      </c>
      <c r="D5" s="2" t="s">
        <v>73</v>
      </c>
      <c r="E5" s="3">
        <v>2359296</v>
      </c>
      <c r="F5" s="2">
        <v>4</v>
      </c>
      <c r="G5" s="2">
        <v>1</v>
      </c>
      <c r="H5" s="3">
        <v>3072</v>
      </c>
      <c r="I5" s="2">
        <v>768</v>
      </c>
      <c r="J5" s="2">
        <v>24</v>
      </c>
      <c r="K5" s="3">
        <v>18432</v>
      </c>
      <c r="L5" s="2">
        <v>114</v>
      </c>
      <c r="M5" s="2">
        <v>63.317900000000002</v>
      </c>
      <c r="N5" s="2">
        <v>61.44</v>
      </c>
      <c r="O5" s="2">
        <v>0.97030000000000005</v>
      </c>
      <c r="P5" s="2">
        <v>74.52</v>
      </c>
      <c r="Q5" s="2">
        <v>74.52</v>
      </c>
      <c r="R5" s="2">
        <v>74.52</v>
      </c>
      <c r="S5" s="2">
        <v>1</v>
      </c>
      <c r="T5" s="2">
        <v>1</v>
      </c>
      <c r="W5" s="2">
        <v>3.28</v>
      </c>
      <c r="X5" s="2" t="s">
        <v>195</v>
      </c>
    </row>
    <row r="6" spans="1:24" x14ac:dyDescent="0.35">
      <c r="A6" s="2" t="s">
        <v>34</v>
      </c>
      <c r="B6" s="2" t="s">
        <v>34</v>
      </c>
      <c r="C6" s="2" t="s">
        <v>74</v>
      </c>
      <c r="D6" s="2" t="s">
        <v>75</v>
      </c>
      <c r="E6" s="3">
        <v>2359296</v>
      </c>
      <c r="F6" s="2">
        <v>5</v>
      </c>
      <c r="G6" s="2">
        <v>1</v>
      </c>
      <c r="H6" s="2">
        <v>768</v>
      </c>
      <c r="I6" s="3">
        <v>3072</v>
      </c>
      <c r="J6" s="2">
        <v>96</v>
      </c>
      <c r="K6" s="3">
        <v>18432</v>
      </c>
      <c r="L6" s="2">
        <v>114</v>
      </c>
      <c r="M6" s="2">
        <v>63.812800000000003</v>
      </c>
      <c r="N6" s="2">
        <v>61.44</v>
      </c>
      <c r="O6" s="2">
        <v>0.96279999999999999</v>
      </c>
      <c r="P6" s="2">
        <v>73.94</v>
      </c>
      <c r="Q6" s="2">
        <v>73.94</v>
      </c>
      <c r="R6" s="2">
        <v>73.94</v>
      </c>
      <c r="S6" s="2">
        <v>1</v>
      </c>
      <c r="T6" s="2">
        <v>1</v>
      </c>
      <c r="W6" s="2">
        <v>1.978</v>
      </c>
      <c r="X6" s="2" t="s">
        <v>195</v>
      </c>
    </row>
    <row r="7" spans="1:24" x14ac:dyDescent="0.35">
      <c r="A7" s="2" t="s">
        <v>34</v>
      </c>
      <c r="B7" s="2" t="s">
        <v>34</v>
      </c>
      <c r="C7" s="2" t="s">
        <v>76</v>
      </c>
      <c r="D7" s="2" t="s">
        <v>77</v>
      </c>
      <c r="E7" s="3">
        <v>4194304</v>
      </c>
      <c r="F7" s="2">
        <v>6</v>
      </c>
      <c r="G7" s="2">
        <v>1</v>
      </c>
      <c r="H7" s="3">
        <v>4096</v>
      </c>
      <c r="I7" s="3">
        <v>1024</v>
      </c>
      <c r="J7" s="2">
        <v>32</v>
      </c>
      <c r="K7" s="3">
        <v>32768</v>
      </c>
      <c r="L7" s="2">
        <v>64</v>
      </c>
      <c r="M7" s="2">
        <v>113.5937</v>
      </c>
      <c r="N7" s="2">
        <v>109.22669999999999</v>
      </c>
      <c r="O7" s="2">
        <v>0.96160000000000001</v>
      </c>
      <c r="P7" s="2">
        <v>73.849999999999994</v>
      </c>
      <c r="Q7" s="2">
        <v>73.849999999999994</v>
      </c>
      <c r="R7" s="2">
        <v>73.849999999999994</v>
      </c>
      <c r="S7" s="2">
        <v>1</v>
      </c>
      <c r="T7" s="2">
        <v>1</v>
      </c>
      <c r="W7" s="2">
        <v>0.13100000000000001</v>
      </c>
      <c r="X7" s="2" t="s">
        <v>195</v>
      </c>
    </row>
    <row r="8" spans="1:24" x14ac:dyDescent="0.35">
      <c r="A8" s="2" t="s">
        <v>34</v>
      </c>
      <c r="B8" s="2" t="s">
        <v>34</v>
      </c>
      <c r="C8" s="2" t="s">
        <v>78</v>
      </c>
      <c r="D8" s="2" t="s">
        <v>79</v>
      </c>
      <c r="E8" s="3">
        <v>4194304</v>
      </c>
      <c r="F8" s="2">
        <v>7</v>
      </c>
      <c r="G8" s="2">
        <v>1</v>
      </c>
      <c r="H8" s="3">
        <v>1024</v>
      </c>
      <c r="I8" s="3">
        <v>4096</v>
      </c>
      <c r="J8" s="2">
        <v>128</v>
      </c>
      <c r="K8" s="3">
        <v>32768</v>
      </c>
      <c r="L8" s="2">
        <v>64</v>
      </c>
      <c r="M8" s="2">
        <v>113.0586</v>
      </c>
      <c r="N8" s="2">
        <v>109.22669999999999</v>
      </c>
      <c r="O8" s="2">
        <v>0.96609999999999996</v>
      </c>
      <c r="P8" s="2">
        <v>74.2</v>
      </c>
      <c r="Q8" s="2">
        <v>74.2</v>
      </c>
      <c r="R8" s="2">
        <v>74.2</v>
      </c>
      <c r="S8" s="2">
        <v>1</v>
      </c>
      <c r="T8" s="2">
        <v>1</v>
      </c>
      <c r="W8" s="2">
        <v>0.76900000000000002</v>
      </c>
      <c r="X8" s="2" t="s">
        <v>195</v>
      </c>
    </row>
    <row r="9" spans="1:24" x14ac:dyDescent="0.35">
      <c r="A9" s="2" t="s">
        <v>34</v>
      </c>
      <c r="B9" s="2" t="s">
        <v>34</v>
      </c>
      <c r="C9" s="2" t="s">
        <v>80</v>
      </c>
      <c r="D9" s="2" t="s">
        <v>81</v>
      </c>
      <c r="E9" s="3">
        <v>4194304</v>
      </c>
      <c r="F9" s="2">
        <v>8</v>
      </c>
      <c r="G9" s="2">
        <v>1</v>
      </c>
      <c r="H9" s="3">
        <v>2048</v>
      </c>
      <c r="I9" s="3">
        <v>2048</v>
      </c>
      <c r="J9" s="2">
        <v>64</v>
      </c>
      <c r="K9" s="3">
        <v>32768</v>
      </c>
      <c r="L9" s="2">
        <v>64</v>
      </c>
      <c r="M9" s="2">
        <v>112.6688</v>
      </c>
      <c r="N9" s="2">
        <v>109.22669999999999</v>
      </c>
      <c r="O9" s="2">
        <v>0.96940000000000004</v>
      </c>
      <c r="P9" s="2">
        <v>74.45</v>
      </c>
      <c r="Q9" s="2">
        <v>74.45</v>
      </c>
      <c r="R9" s="2">
        <v>74.45</v>
      </c>
      <c r="S9" s="2">
        <v>1</v>
      </c>
      <c r="T9" s="2">
        <v>1</v>
      </c>
      <c r="W9" s="2">
        <v>2.4670000000000001</v>
      </c>
      <c r="X9" s="2" t="s">
        <v>195</v>
      </c>
    </row>
    <row r="10" spans="1:24" x14ac:dyDescent="0.35">
      <c r="A10" s="2" t="s">
        <v>34</v>
      </c>
      <c r="B10" s="2" t="s">
        <v>34</v>
      </c>
      <c r="C10" s="2" t="s">
        <v>82</v>
      </c>
      <c r="D10" s="2" t="s">
        <v>83</v>
      </c>
      <c r="E10" s="3">
        <v>16777216</v>
      </c>
      <c r="F10" s="2">
        <v>9</v>
      </c>
      <c r="G10" s="2">
        <v>1</v>
      </c>
      <c r="H10" s="3">
        <v>4096</v>
      </c>
      <c r="I10" s="3">
        <v>4096</v>
      </c>
      <c r="J10" s="2">
        <v>128</v>
      </c>
      <c r="K10" s="3">
        <v>131072</v>
      </c>
      <c r="L10" s="2">
        <v>16</v>
      </c>
      <c r="M10" s="2">
        <v>452.42020000000002</v>
      </c>
      <c r="N10" s="2">
        <v>436.9067</v>
      </c>
      <c r="O10" s="2">
        <v>0.9657</v>
      </c>
      <c r="P10" s="2">
        <v>74.17</v>
      </c>
      <c r="Q10" s="2">
        <v>74.17</v>
      </c>
      <c r="R10" s="2">
        <v>74.17</v>
      </c>
      <c r="S10" s="2">
        <v>1</v>
      </c>
      <c r="T10" s="2">
        <v>1</v>
      </c>
      <c r="W10" s="2">
        <v>1.5549999999999999</v>
      </c>
      <c r="X10" s="2" t="s">
        <v>195</v>
      </c>
    </row>
    <row r="11" spans="1:24" x14ac:dyDescent="0.35">
      <c r="A11" s="2" t="s">
        <v>34</v>
      </c>
      <c r="B11" s="2" t="s">
        <v>34</v>
      </c>
      <c r="C11" s="2" t="s">
        <v>84</v>
      </c>
      <c r="D11" s="2" t="s">
        <v>85</v>
      </c>
      <c r="E11" s="3">
        <v>16777216</v>
      </c>
      <c r="F11" s="2">
        <v>10</v>
      </c>
      <c r="G11" s="2">
        <v>1</v>
      </c>
      <c r="H11" s="3">
        <v>8192</v>
      </c>
      <c r="I11" s="3">
        <v>2048</v>
      </c>
      <c r="J11" s="2">
        <v>64</v>
      </c>
      <c r="K11" s="3">
        <v>131072</v>
      </c>
      <c r="L11" s="2">
        <v>16</v>
      </c>
      <c r="M11" s="2">
        <v>453.9778</v>
      </c>
      <c r="N11" s="2">
        <v>436.9067</v>
      </c>
      <c r="O11" s="2">
        <v>0.96240000000000003</v>
      </c>
      <c r="P11" s="2">
        <v>73.91</v>
      </c>
      <c r="Q11" s="2">
        <v>73.91</v>
      </c>
      <c r="R11" s="2">
        <v>73.91</v>
      </c>
      <c r="S11" s="2">
        <v>1</v>
      </c>
      <c r="T11" s="2">
        <v>1</v>
      </c>
      <c r="W11" s="2">
        <v>0.217</v>
      </c>
      <c r="X11" s="2" t="s">
        <v>195</v>
      </c>
    </row>
    <row r="12" spans="1:24" x14ac:dyDescent="0.35">
      <c r="A12" s="2" t="s">
        <v>34</v>
      </c>
      <c r="B12" s="2" t="s">
        <v>34</v>
      </c>
      <c r="C12" s="2" t="s">
        <v>86</v>
      </c>
      <c r="D12" s="2" t="s">
        <v>87</v>
      </c>
      <c r="E12" s="3">
        <v>16777216</v>
      </c>
      <c r="F12" s="2">
        <v>11</v>
      </c>
      <c r="G12" s="2">
        <v>1</v>
      </c>
      <c r="H12" s="3">
        <v>2048</v>
      </c>
      <c r="I12" s="3">
        <v>8192</v>
      </c>
      <c r="J12" s="2">
        <v>256</v>
      </c>
      <c r="K12" s="3">
        <v>131072</v>
      </c>
      <c r="L12" s="2">
        <v>16</v>
      </c>
      <c r="M12" s="2">
        <v>454.70249999999999</v>
      </c>
      <c r="N12" s="2">
        <v>436.9067</v>
      </c>
      <c r="O12" s="2">
        <v>0.96089999999999998</v>
      </c>
      <c r="P12" s="2">
        <v>73.790000000000006</v>
      </c>
      <c r="Q12" s="2">
        <v>73.790000000000006</v>
      </c>
      <c r="R12" s="2">
        <v>73.790000000000006</v>
      </c>
      <c r="S12" s="2">
        <v>1</v>
      </c>
      <c r="T12" s="2">
        <v>1</v>
      </c>
      <c r="W12" s="2">
        <v>2.7360000000000002</v>
      </c>
      <c r="X12" s="2" t="s">
        <v>195</v>
      </c>
    </row>
    <row r="13" spans="1:24" x14ac:dyDescent="0.35">
      <c r="A13" s="2" t="s">
        <v>34</v>
      </c>
      <c r="B13" s="2" t="s">
        <v>34</v>
      </c>
      <c r="C13" s="2" t="s">
        <v>88</v>
      </c>
      <c r="F13" s="2">
        <v>12</v>
      </c>
      <c r="G13" s="2">
        <v>1</v>
      </c>
      <c r="O13" s="2">
        <v>0.96589999999999998</v>
      </c>
      <c r="P13" s="2">
        <v>74.180000000000007</v>
      </c>
      <c r="S13" s="2">
        <v>1</v>
      </c>
      <c r="T13" s="2">
        <v>1</v>
      </c>
      <c r="X13" s="2" t="s">
        <v>195</v>
      </c>
    </row>
    <row r="14" spans="1:24" x14ac:dyDescent="0.35">
      <c r="A14" s="2" t="s">
        <v>37</v>
      </c>
      <c r="B14" s="2" t="s">
        <v>38</v>
      </c>
      <c r="C14" s="2" t="s">
        <v>66</v>
      </c>
      <c r="D14" s="2" t="s">
        <v>67</v>
      </c>
      <c r="E14" s="3">
        <v>262144</v>
      </c>
      <c r="F14" s="2">
        <v>1</v>
      </c>
      <c r="G14" s="2">
        <v>2</v>
      </c>
      <c r="H14" s="2">
        <v>512</v>
      </c>
      <c r="I14" s="2">
        <v>512</v>
      </c>
      <c r="J14" s="2">
        <v>16</v>
      </c>
      <c r="K14" s="3">
        <v>1024</v>
      </c>
      <c r="L14" s="3">
        <v>2048</v>
      </c>
      <c r="M14" s="2">
        <v>3.5337999999999998</v>
      </c>
      <c r="N14" s="2">
        <v>3.4133</v>
      </c>
      <c r="O14" s="2">
        <v>0.96589999999999998</v>
      </c>
      <c r="P14" s="2">
        <v>148.36000000000001</v>
      </c>
      <c r="Q14" s="2">
        <v>74.180000000000007</v>
      </c>
      <c r="R14" s="2">
        <v>102</v>
      </c>
      <c r="S14" s="2">
        <v>2.0023</v>
      </c>
      <c r="T14" s="2">
        <v>0.49940000000000001</v>
      </c>
      <c r="U14" s="2">
        <v>2</v>
      </c>
      <c r="V14" s="2">
        <v>100.11</v>
      </c>
      <c r="W14" s="2">
        <v>1.587</v>
      </c>
      <c r="X14" s="2" t="s">
        <v>195</v>
      </c>
    </row>
    <row r="15" spans="1:24" x14ac:dyDescent="0.35">
      <c r="A15" s="2" t="s">
        <v>37</v>
      </c>
      <c r="B15" s="2" t="s">
        <v>38</v>
      </c>
      <c r="C15" s="2" t="s">
        <v>68</v>
      </c>
      <c r="D15" s="2" t="s">
        <v>69</v>
      </c>
      <c r="E15" s="3">
        <v>589824</v>
      </c>
      <c r="F15" s="2">
        <v>2</v>
      </c>
      <c r="G15" s="2">
        <v>2</v>
      </c>
      <c r="H15" s="2">
        <v>768</v>
      </c>
      <c r="I15" s="2">
        <v>768</v>
      </c>
      <c r="J15" s="2">
        <v>24</v>
      </c>
      <c r="K15" s="3">
        <v>2304</v>
      </c>
      <c r="L15" s="2">
        <v>911</v>
      </c>
      <c r="M15" s="2">
        <v>7.8966000000000003</v>
      </c>
      <c r="N15" s="2">
        <v>7.68</v>
      </c>
      <c r="O15" s="2">
        <v>0.97260000000000002</v>
      </c>
      <c r="P15" s="2">
        <v>149.38999999999999</v>
      </c>
      <c r="Q15" s="2">
        <v>74.69</v>
      </c>
      <c r="R15" s="2">
        <v>102.7</v>
      </c>
      <c r="S15" s="2">
        <v>2.0306999999999999</v>
      </c>
      <c r="T15" s="2">
        <v>0.4924</v>
      </c>
      <c r="U15" s="2">
        <v>2</v>
      </c>
      <c r="V15" s="2">
        <v>101.54</v>
      </c>
      <c r="W15" s="2">
        <v>0.65900000000000003</v>
      </c>
      <c r="X15" s="2" t="s">
        <v>195</v>
      </c>
    </row>
    <row r="16" spans="1:24" x14ac:dyDescent="0.35">
      <c r="A16" s="2" t="s">
        <v>37</v>
      </c>
      <c r="B16" s="2" t="s">
        <v>38</v>
      </c>
      <c r="C16" s="2" t="s">
        <v>70</v>
      </c>
      <c r="D16" s="2" t="s">
        <v>71</v>
      </c>
      <c r="E16" s="3">
        <v>1048576</v>
      </c>
      <c r="F16" s="2">
        <v>3</v>
      </c>
      <c r="G16" s="2">
        <v>2</v>
      </c>
      <c r="H16" s="3">
        <v>1024</v>
      </c>
      <c r="I16" s="3">
        <v>1024</v>
      </c>
      <c r="J16" s="2">
        <v>32</v>
      </c>
      <c r="K16" s="3">
        <v>4096</v>
      </c>
      <c r="L16" s="2">
        <v>512</v>
      </c>
      <c r="M16" s="2">
        <v>14.2399</v>
      </c>
      <c r="N16" s="2">
        <v>13.6533</v>
      </c>
      <c r="O16" s="2">
        <v>0.95879999999999999</v>
      </c>
      <c r="P16" s="2">
        <v>147.27000000000001</v>
      </c>
      <c r="Q16" s="2">
        <v>73.64</v>
      </c>
      <c r="R16" s="2">
        <v>101.25</v>
      </c>
      <c r="S16" s="2">
        <v>1.9512</v>
      </c>
      <c r="T16" s="2">
        <v>0.51249999999999996</v>
      </c>
      <c r="U16" s="2">
        <v>2</v>
      </c>
      <c r="V16" s="2">
        <v>97.56</v>
      </c>
      <c r="W16" s="2">
        <v>0.28000000000000003</v>
      </c>
      <c r="X16" s="2" t="s">
        <v>195</v>
      </c>
    </row>
    <row r="17" spans="1:24" x14ac:dyDescent="0.35">
      <c r="A17" s="2" t="s">
        <v>37</v>
      </c>
      <c r="B17" s="2" t="s">
        <v>38</v>
      </c>
      <c r="C17" s="2" t="s">
        <v>72</v>
      </c>
      <c r="D17" s="2" t="s">
        <v>73</v>
      </c>
      <c r="E17" s="3">
        <v>2359296</v>
      </c>
      <c r="F17" s="2">
        <v>4</v>
      </c>
      <c r="G17" s="2">
        <v>2</v>
      </c>
      <c r="H17" s="3">
        <v>3072</v>
      </c>
      <c r="I17" s="2">
        <v>768</v>
      </c>
      <c r="J17" s="2">
        <v>24</v>
      </c>
      <c r="K17" s="3">
        <v>9216</v>
      </c>
      <c r="L17" s="2">
        <v>228</v>
      </c>
      <c r="M17" s="2">
        <v>31.994599999999998</v>
      </c>
      <c r="N17" s="2">
        <v>30.72</v>
      </c>
      <c r="O17" s="2">
        <v>0.96020000000000005</v>
      </c>
      <c r="P17" s="2">
        <v>147.47999999999999</v>
      </c>
      <c r="Q17" s="2">
        <v>73.739999999999995</v>
      </c>
      <c r="R17" s="2">
        <v>101.39</v>
      </c>
      <c r="S17" s="2">
        <v>1.9790000000000001</v>
      </c>
      <c r="T17" s="2">
        <v>0.50529999999999997</v>
      </c>
      <c r="U17" s="2">
        <v>2</v>
      </c>
      <c r="V17" s="2">
        <v>98.95</v>
      </c>
      <c r="W17" s="2">
        <v>1.1759999999999999</v>
      </c>
      <c r="X17" s="2" t="s">
        <v>195</v>
      </c>
    </row>
    <row r="18" spans="1:24" x14ac:dyDescent="0.35">
      <c r="A18" s="2" t="s">
        <v>37</v>
      </c>
      <c r="B18" s="2" t="s">
        <v>38</v>
      </c>
      <c r="C18" s="2" t="s">
        <v>74</v>
      </c>
      <c r="D18" s="2" t="s">
        <v>75</v>
      </c>
      <c r="E18" s="3">
        <v>2359296</v>
      </c>
      <c r="F18" s="2">
        <v>5</v>
      </c>
      <c r="G18" s="2">
        <v>2</v>
      </c>
      <c r="H18" s="2">
        <v>768</v>
      </c>
      <c r="I18" s="3">
        <v>3072</v>
      </c>
      <c r="J18" s="2">
        <v>96</v>
      </c>
      <c r="K18" s="3">
        <v>9216</v>
      </c>
      <c r="L18" s="2">
        <v>228</v>
      </c>
      <c r="M18" s="2">
        <v>31.870200000000001</v>
      </c>
      <c r="N18" s="2">
        <v>30.72</v>
      </c>
      <c r="O18" s="2">
        <v>0.96389999999999998</v>
      </c>
      <c r="P18" s="2">
        <v>148.06</v>
      </c>
      <c r="Q18" s="2">
        <v>74.03</v>
      </c>
      <c r="R18" s="2">
        <v>101.79</v>
      </c>
      <c r="S18" s="2">
        <v>2.0023</v>
      </c>
      <c r="T18" s="2">
        <v>0.49940000000000001</v>
      </c>
      <c r="U18" s="2">
        <v>2</v>
      </c>
      <c r="V18" s="2">
        <v>100.11</v>
      </c>
      <c r="W18" s="2">
        <v>0.56399999999999995</v>
      </c>
      <c r="X18" s="2" t="s">
        <v>195</v>
      </c>
    </row>
    <row r="19" spans="1:24" x14ac:dyDescent="0.35">
      <c r="A19" s="2" t="s">
        <v>37</v>
      </c>
      <c r="B19" s="2" t="s">
        <v>38</v>
      </c>
      <c r="C19" s="2" t="s">
        <v>76</v>
      </c>
      <c r="D19" s="2" t="s">
        <v>77</v>
      </c>
      <c r="E19" s="3">
        <v>4194304</v>
      </c>
      <c r="F19" s="2">
        <v>6</v>
      </c>
      <c r="G19" s="2">
        <v>2</v>
      </c>
      <c r="H19" s="3">
        <v>4096</v>
      </c>
      <c r="I19" s="3">
        <v>1024</v>
      </c>
      <c r="J19" s="2">
        <v>32</v>
      </c>
      <c r="K19" s="3">
        <v>16384</v>
      </c>
      <c r="L19" s="2">
        <v>128</v>
      </c>
      <c r="M19" s="2">
        <v>56.248699999999999</v>
      </c>
      <c r="N19" s="2">
        <v>54.613300000000002</v>
      </c>
      <c r="O19" s="2">
        <v>0.97089999999999999</v>
      </c>
      <c r="P19" s="2">
        <v>149.13</v>
      </c>
      <c r="Q19" s="2">
        <v>74.569999999999993</v>
      </c>
      <c r="R19" s="2">
        <v>102.53</v>
      </c>
      <c r="S19" s="2">
        <v>2.0194999999999999</v>
      </c>
      <c r="T19" s="2">
        <v>0.49519999999999997</v>
      </c>
      <c r="U19" s="2">
        <v>2</v>
      </c>
      <c r="V19" s="2">
        <v>100.97</v>
      </c>
      <c r="W19" s="2">
        <v>1.65</v>
      </c>
      <c r="X19" s="2" t="s">
        <v>195</v>
      </c>
    </row>
    <row r="20" spans="1:24" x14ac:dyDescent="0.35">
      <c r="A20" s="2" t="s">
        <v>37</v>
      </c>
      <c r="B20" s="2" t="s">
        <v>38</v>
      </c>
      <c r="C20" s="2" t="s">
        <v>78</v>
      </c>
      <c r="D20" s="2" t="s">
        <v>79</v>
      </c>
      <c r="E20" s="3">
        <v>4194304</v>
      </c>
      <c r="F20" s="2">
        <v>7</v>
      </c>
      <c r="G20" s="2">
        <v>2</v>
      </c>
      <c r="H20" s="3">
        <v>1024</v>
      </c>
      <c r="I20" s="3">
        <v>4096</v>
      </c>
      <c r="J20" s="2">
        <v>128</v>
      </c>
      <c r="K20" s="3">
        <v>16384</v>
      </c>
      <c r="L20" s="2">
        <v>128</v>
      </c>
      <c r="M20" s="2">
        <v>56.590200000000003</v>
      </c>
      <c r="N20" s="2">
        <v>54.613300000000002</v>
      </c>
      <c r="O20" s="2">
        <v>0.96509999999999996</v>
      </c>
      <c r="P20" s="2">
        <v>148.22999999999999</v>
      </c>
      <c r="Q20" s="2">
        <v>74.12</v>
      </c>
      <c r="R20" s="2">
        <v>101.91</v>
      </c>
      <c r="S20" s="2">
        <v>1.9978</v>
      </c>
      <c r="T20" s="2">
        <v>0.50049999999999994</v>
      </c>
      <c r="U20" s="2">
        <v>2</v>
      </c>
      <c r="V20" s="2">
        <v>99.89</v>
      </c>
      <c r="W20" s="2">
        <v>0.69199999999999995</v>
      </c>
      <c r="X20" s="2" t="s">
        <v>195</v>
      </c>
    </row>
    <row r="21" spans="1:24" x14ac:dyDescent="0.35">
      <c r="A21" s="2" t="s">
        <v>37</v>
      </c>
      <c r="B21" s="2" t="s">
        <v>38</v>
      </c>
      <c r="C21" s="2" t="s">
        <v>80</v>
      </c>
      <c r="D21" s="2" t="s">
        <v>81</v>
      </c>
      <c r="E21" s="3">
        <v>4194304</v>
      </c>
      <c r="F21" s="2">
        <v>8</v>
      </c>
      <c r="G21" s="2">
        <v>2</v>
      </c>
      <c r="H21" s="3">
        <v>2048</v>
      </c>
      <c r="I21" s="3">
        <v>2048</v>
      </c>
      <c r="J21" s="2">
        <v>64</v>
      </c>
      <c r="K21" s="3">
        <v>16384</v>
      </c>
      <c r="L21" s="2">
        <v>128</v>
      </c>
      <c r="M21" s="2">
        <v>57.058</v>
      </c>
      <c r="N21" s="2">
        <v>54.613300000000002</v>
      </c>
      <c r="O21" s="2">
        <v>0.95720000000000005</v>
      </c>
      <c r="P21" s="2">
        <v>147.02000000000001</v>
      </c>
      <c r="Q21" s="2">
        <v>73.510000000000005</v>
      </c>
      <c r="R21" s="2">
        <v>101.08</v>
      </c>
      <c r="S21" s="2">
        <v>1.9745999999999999</v>
      </c>
      <c r="T21" s="2">
        <v>0.50639999999999996</v>
      </c>
      <c r="U21" s="2">
        <v>2</v>
      </c>
      <c r="V21" s="2">
        <v>98.73</v>
      </c>
      <c r="W21" s="2">
        <v>1.7010000000000001</v>
      </c>
      <c r="X21" s="2" t="s">
        <v>195</v>
      </c>
    </row>
    <row r="22" spans="1:24" x14ac:dyDescent="0.35">
      <c r="A22" s="2" t="s">
        <v>37</v>
      </c>
      <c r="B22" s="2" t="s">
        <v>38</v>
      </c>
      <c r="C22" s="2" t="s">
        <v>82</v>
      </c>
      <c r="D22" s="2" t="s">
        <v>83</v>
      </c>
      <c r="E22" s="3">
        <v>16777216</v>
      </c>
      <c r="F22" s="2">
        <v>9</v>
      </c>
      <c r="G22" s="2">
        <v>2</v>
      </c>
      <c r="H22" s="3">
        <v>4096</v>
      </c>
      <c r="I22" s="3">
        <v>4096</v>
      </c>
      <c r="J22" s="2">
        <v>128</v>
      </c>
      <c r="K22" s="3">
        <v>65536</v>
      </c>
      <c r="L22" s="2">
        <v>32</v>
      </c>
      <c r="M22" s="2">
        <v>223.9066</v>
      </c>
      <c r="N22" s="2">
        <v>218.45330000000001</v>
      </c>
      <c r="O22" s="2">
        <v>0.97560000000000002</v>
      </c>
      <c r="P22" s="2">
        <v>149.86000000000001</v>
      </c>
      <c r="Q22" s="2">
        <v>74.930000000000007</v>
      </c>
      <c r="R22" s="2">
        <v>103.03</v>
      </c>
      <c r="S22" s="2">
        <v>2.0206</v>
      </c>
      <c r="T22" s="2">
        <v>0.49490000000000001</v>
      </c>
      <c r="U22" s="2">
        <v>2</v>
      </c>
      <c r="V22" s="2">
        <v>101.03</v>
      </c>
      <c r="W22" s="2">
        <v>1.917</v>
      </c>
      <c r="X22" s="2" t="s">
        <v>195</v>
      </c>
    </row>
    <row r="23" spans="1:24" x14ac:dyDescent="0.35">
      <c r="A23" s="2" t="s">
        <v>37</v>
      </c>
      <c r="B23" s="2" t="s">
        <v>38</v>
      </c>
      <c r="C23" s="2" t="s">
        <v>84</v>
      </c>
      <c r="D23" s="2" t="s">
        <v>85</v>
      </c>
      <c r="E23" s="3">
        <v>16777216</v>
      </c>
      <c r="F23" s="2">
        <v>10</v>
      </c>
      <c r="G23" s="2">
        <v>2</v>
      </c>
      <c r="H23" s="3">
        <v>8192</v>
      </c>
      <c r="I23" s="3">
        <v>2048</v>
      </c>
      <c r="J23" s="2">
        <v>64</v>
      </c>
      <c r="K23" s="3">
        <v>65536</v>
      </c>
      <c r="L23" s="2">
        <v>32</v>
      </c>
      <c r="M23" s="2">
        <v>226.73570000000001</v>
      </c>
      <c r="N23" s="2">
        <v>218.45330000000001</v>
      </c>
      <c r="O23" s="2">
        <v>0.96350000000000002</v>
      </c>
      <c r="P23" s="2">
        <v>147.99</v>
      </c>
      <c r="Q23" s="2">
        <v>73.989999999999995</v>
      </c>
      <c r="R23" s="2">
        <v>101.74</v>
      </c>
      <c r="S23" s="2">
        <v>2.0022000000000002</v>
      </c>
      <c r="T23" s="2">
        <v>0.49940000000000001</v>
      </c>
      <c r="U23" s="2">
        <v>2</v>
      </c>
      <c r="V23" s="2">
        <v>100.11</v>
      </c>
      <c r="W23" s="2">
        <v>1.329</v>
      </c>
      <c r="X23" s="2" t="s">
        <v>195</v>
      </c>
    </row>
    <row r="24" spans="1:24" x14ac:dyDescent="0.35">
      <c r="A24" s="2" t="s">
        <v>37</v>
      </c>
      <c r="B24" s="2" t="s">
        <v>38</v>
      </c>
      <c r="C24" s="2" t="s">
        <v>86</v>
      </c>
      <c r="D24" s="2" t="s">
        <v>87</v>
      </c>
      <c r="E24" s="3">
        <v>16777216</v>
      </c>
      <c r="F24" s="2">
        <v>11</v>
      </c>
      <c r="G24" s="2">
        <v>2</v>
      </c>
      <c r="H24" s="3">
        <v>2048</v>
      </c>
      <c r="I24" s="3">
        <v>8192</v>
      </c>
      <c r="J24" s="2">
        <v>256</v>
      </c>
      <c r="K24" s="3">
        <v>65536</v>
      </c>
      <c r="L24" s="2">
        <v>32</v>
      </c>
      <c r="M24" s="2">
        <v>225.10550000000001</v>
      </c>
      <c r="N24" s="2">
        <v>218.45330000000001</v>
      </c>
      <c r="O24" s="2">
        <v>0.97040000000000004</v>
      </c>
      <c r="P24" s="2">
        <v>149.06</v>
      </c>
      <c r="Q24" s="2">
        <v>74.53</v>
      </c>
      <c r="R24" s="2">
        <v>102.48</v>
      </c>
      <c r="S24" s="2">
        <v>2.02</v>
      </c>
      <c r="T24" s="2">
        <v>0.49509999999999998</v>
      </c>
      <c r="U24" s="2">
        <v>2</v>
      </c>
      <c r="V24" s="2">
        <v>101</v>
      </c>
      <c r="W24" s="2">
        <v>9.9000000000000005E-2</v>
      </c>
      <c r="X24" s="2" t="s">
        <v>195</v>
      </c>
    </row>
    <row r="25" spans="1:24" x14ac:dyDescent="0.35">
      <c r="A25" s="2" t="s">
        <v>37</v>
      </c>
      <c r="B25" s="2" t="s">
        <v>38</v>
      </c>
      <c r="C25" s="2" t="s">
        <v>88</v>
      </c>
      <c r="F25" s="2">
        <v>12</v>
      </c>
      <c r="G25" s="2">
        <v>2</v>
      </c>
      <c r="O25" s="2">
        <v>0.96579999999999999</v>
      </c>
      <c r="P25" s="2">
        <v>148.35</v>
      </c>
      <c r="S25" s="2">
        <v>1.9999</v>
      </c>
      <c r="T25" s="2">
        <v>0.5</v>
      </c>
      <c r="U25" s="2">
        <v>2</v>
      </c>
      <c r="V25" s="2">
        <v>99.99</v>
      </c>
      <c r="X25" s="2" t="s">
        <v>195</v>
      </c>
    </row>
    <row r="26" spans="1:24" x14ac:dyDescent="0.35">
      <c r="A26" s="2" t="s">
        <v>37</v>
      </c>
      <c r="B26" s="2" t="s">
        <v>40</v>
      </c>
      <c r="C26" s="2" t="s">
        <v>66</v>
      </c>
      <c r="D26" s="2" t="s">
        <v>67</v>
      </c>
      <c r="E26" s="3">
        <v>262144</v>
      </c>
      <c r="F26" s="2">
        <v>1</v>
      </c>
      <c r="G26" s="2">
        <v>3</v>
      </c>
      <c r="H26" s="2">
        <v>512</v>
      </c>
      <c r="I26" s="2">
        <v>512</v>
      </c>
      <c r="J26" s="2">
        <v>16</v>
      </c>
      <c r="K26" s="2">
        <v>512</v>
      </c>
      <c r="L26" s="3">
        <v>4096</v>
      </c>
      <c r="M26" s="2">
        <v>1.8181</v>
      </c>
      <c r="N26" s="2">
        <v>1.7067000000000001</v>
      </c>
      <c r="O26" s="2">
        <v>0.93869999999999998</v>
      </c>
      <c r="P26" s="2">
        <v>288.37</v>
      </c>
      <c r="Q26" s="2">
        <v>72.09</v>
      </c>
      <c r="R26" s="2">
        <v>99.13</v>
      </c>
      <c r="S26" s="2">
        <v>3.8917999999999999</v>
      </c>
      <c r="T26" s="2">
        <v>0.25690000000000002</v>
      </c>
      <c r="U26" s="2">
        <v>4</v>
      </c>
      <c r="V26" s="2">
        <v>97.3</v>
      </c>
      <c r="W26" s="2">
        <v>2.141</v>
      </c>
      <c r="X26" s="2" t="s">
        <v>195</v>
      </c>
    </row>
    <row r="27" spans="1:24" x14ac:dyDescent="0.35">
      <c r="A27" s="2" t="s">
        <v>37</v>
      </c>
      <c r="B27" s="2" t="s">
        <v>40</v>
      </c>
      <c r="C27" s="2" t="s">
        <v>68</v>
      </c>
      <c r="D27" s="2" t="s">
        <v>69</v>
      </c>
      <c r="E27" s="3">
        <v>589824</v>
      </c>
      <c r="F27" s="2">
        <v>2</v>
      </c>
      <c r="G27" s="2">
        <v>3</v>
      </c>
      <c r="H27" s="2">
        <v>768</v>
      </c>
      <c r="I27" s="2">
        <v>768</v>
      </c>
      <c r="J27" s="2">
        <v>24</v>
      </c>
      <c r="K27" s="3">
        <v>1152</v>
      </c>
      <c r="L27" s="3">
        <v>1821</v>
      </c>
      <c r="M27" s="2">
        <v>4.0381</v>
      </c>
      <c r="N27" s="2">
        <v>3.84</v>
      </c>
      <c r="O27" s="2">
        <v>0.95089999999999997</v>
      </c>
      <c r="P27" s="2">
        <v>292.13</v>
      </c>
      <c r="Q27" s="2">
        <v>73.03</v>
      </c>
      <c r="R27" s="2">
        <v>100.42</v>
      </c>
      <c r="S27" s="2">
        <v>3.9712000000000001</v>
      </c>
      <c r="T27" s="2">
        <v>0.25180000000000002</v>
      </c>
      <c r="U27" s="2">
        <v>4</v>
      </c>
      <c r="V27" s="2">
        <v>99.28</v>
      </c>
      <c r="W27" s="2">
        <v>2.4630000000000001</v>
      </c>
      <c r="X27" s="2" t="s">
        <v>195</v>
      </c>
    </row>
    <row r="28" spans="1:24" x14ac:dyDescent="0.35">
      <c r="A28" s="2" t="s">
        <v>37</v>
      </c>
      <c r="B28" s="2" t="s">
        <v>40</v>
      </c>
      <c r="C28" s="2" t="s">
        <v>70</v>
      </c>
      <c r="D28" s="2" t="s">
        <v>71</v>
      </c>
      <c r="E28" s="3">
        <v>1048576</v>
      </c>
      <c r="F28" s="2">
        <v>3</v>
      </c>
      <c r="G28" s="2">
        <v>3</v>
      </c>
      <c r="H28" s="3">
        <v>1024</v>
      </c>
      <c r="I28" s="3">
        <v>1024</v>
      </c>
      <c r="J28" s="2">
        <v>32</v>
      </c>
      <c r="K28" s="3">
        <v>2048</v>
      </c>
      <c r="L28" s="3">
        <v>1024</v>
      </c>
      <c r="M28" s="2">
        <v>7.1749999999999998</v>
      </c>
      <c r="N28" s="2">
        <v>6.8266999999999998</v>
      </c>
      <c r="O28" s="2">
        <v>0.95140000000000002</v>
      </c>
      <c r="P28" s="2">
        <v>292.27999999999997</v>
      </c>
      <c r="Q28" s="2">
        <v>73.069999999999993</v>
      </c>
      <c r="R28" s="2">
        <v>100.47</v>
      </c>
      <c r="S28" s="2">
        <v>3.8723999999999998</v>
      </c>
      <c r="T28" s="2">
        <v>0.25819999999999999</v>
      </c>
      <c r="U28" s="2">
        <v>4</v>
      </c>
      <c r="V28" s="2">
        <v>96.81</v>
      </c>
      <c r="W28" s="2">
        <v>0.32300000000000001</v>
      </c>
      <c r="X28" s="2" t="s">
        <v>195</v>
      </c>
    </row>
    <row r="29" spans="1:24" x14ac:dyDescent="0.35">
      <c r="A29" s="2" t="s">
        <v>37</v>
      </c>
      <c r="B29" s="2" t="s">
        <v>40</v>
      </c>
      <c r="C29" s="2" t="s">
        <v>72</v>
      </c>
      <c r="D29" s="2" t="s">
        <v>73</v>
      </c>
      <c r="E29" s="3">
        <v>2359296</v>
      </c>
      <c r="F29" s="2">
        <v>4</v>
      </c>
      <c r="G29" s="2">
        <v>3</v>
      </c>
      <c r="H29" s="3">
        <v>3072</v>
      </c>
      <c r="I29" s="2">
        <v>768</v>
      </c>
      <c r="J29" s="2">
        <v>24</v>
      </c>
      <c r="K29" s="3">
        <v>4608</v>
      </c>
      <c r="L29" s="2">
        <v>456</v>
      </c>
      <c r="M29" s="2">
        <v>16.0976</v>
      </c>
      <c r="N29" s="2">
        <v>15.36</v>
      </c>
      <c r="O29" s="2">
        <v>0.95420000000000005</v>
      </c>
      <c r="P29" s="2">
        <v>293.12</v>
      </c>
      <c r="Q29" s="2">
        <v>73.28</v>
      </c>
      <c r="R29" s="2">
        <v>100.76</v>
      </c>
      <c r="S29" s="2">
        <v>3.9333999999999998</v>
      </c>
      <c r="T29" s="2">
        <v>0.25419999999999998</v>
      </c>
      <c r="U29" s="2">
        <v>4</v>
      </c>
      <c r="V29" s="2">
        <v>98.33</v>
      </c>
      <c r="W29" s="2">
        <v>0.96899999999999997</v>
      </c>
      <c r="X29" s="2" t="s">
        <v>195</v>
      </c>
    </row>
    <row r="30" spans="1:24" x14ac:dyDescent="0.35">
      <c r="A30" s="2" t="s">
        <v>37</v>
      </c>
      <c r="B30" s="2" t="s">
        <v>40</v>
      </c>
      <c r="C30" s="2" t="s">
        <v>74</v>
      </c>
      <c r="D30" s="2" t="s">
        <v>75</v>
      </c>
      <c r="E30" s="3">
        <v>2359296</v>
      </c>
      <c r="F30" s="2">
        <v>5</v>
      </c>
      <c r="G30" s="2">
        <v>3</v>
      </c>
      <c r="H30" s="2">
        <v>768</v>
      </c>
      <c r="I30" s="3">
        <v>3072</v>
      </c>
      <c r="J30" s="2">
        <v>96</v>
      </c>
      <c r="K30" s="3">
        <v>4608</v>
      </c>
      <c r="L30" s="2">
        <v>456</v>
      </c>
      <c r="M30" s="2">
        <v>15.924300000000001</v>
      </c>
      <c r="N30" s="2">
        <v>15.36</v>
      </c>
      <c r="O30" s="2">
        <v>0.96460000000000001</v>
      </c>
      <c r="P30" s="2">
        <v>296.31</v>
      </c>
      <c r="Q30" s="2">
        <v>74.08</v>
      </c>
      <c r="R30" s="2">
        <v>101.86</v>
      </c>
      <c r="S30" s="2">
        <v>4.0072999999999999</v>
      </c>
      <c r="T30" s="2">
        <v>0.2495</v>
      </c>
      <c r="U30" s="2">
        <v>4</v>
      </c>
      <c r="V30" s="2">
        <v>100.18</v>
      </c>
      <c r="W30" s="2">
        <v>0.32700000000000001</v>
      </c>
      <c r="X30" s="2" t="s">
        <v>195</v>
      </c>
    </row>
    <row r="31" spans="1:24" x14ac:dyDescent="0.35">
      <c r="A31" s="2" t="s">
        <v>37</v>
      </c>
      <c r="B31" s="2" t="s">
        <v>40</v>
      </c>
      <c r="C31" s="2" t="s">
        <v>76</v>
      </c>
      <c r="D31" s="2" t="s">
        <v>77</v>
      </c>
      <c r="E31" s="3">
        <v>4194304</v>
      </c>
      <c r="F31" s="2">
        <v>6</v>
      </c>
      <c r="G31" s="2">
        <v>3</v>
      </c>
      <c r="H31" s="3">
        <v>4096</v>
      </c>
      <c r="I31" s="3">
        <v>1024</v>
      </c>
      <c r="J31" s="2">
        <v>32</v>
      </c>
      <c r="K31" s="3">
        <v>8192</v>
      </c>
      <c r="L31" s="2">
        <v>256</v>
      </c>
      <c r="M31" s="2">
        <v>28.4773</v>
      </c>
      <c r="N31" s="2">
        <v>27.306699999999999</v>
      </c>
      <c r="O31" s="2">
        <v>0.95889999999999997</v>
      </c>
      <c r="P31" s="2">
        <v>294.57</v>
      </c>
      <c r="Q31" s="2">
        <v>73.64</v>
      </c>
      <c r="R31" s="2">
        <v>101.26</v>
      </c>
      <c r="S31" s="2">
        <v>3.9889000000000001</v>
      </c>
      <c r="T31" s="2">
        <v>0.25069999999999998</v>
      </c>
      <c r="U31" s="2">
        <v>4</v>
      </c>
      <c r="V31" s="2">
        <v>99.72</v>
      </c>
      <c r="W31" s="2">
        <v>1.7350000000000001</v>
      </c>
      <c r="X31" s="2" t="s">
        <v>195</v>
      </c>
    </row>
    <row r="32" spans="1:24" x14ac:dyDescent="0.35">
      <c r="A32" s="2" t="s">
        <v>37</v>
      </c>
      <c r="B32" s="2" t="s">
        <v>40</v>
      </c>
      <c r="C32" s="2" t="s">
        <v>78</v>
      </c>
      <c r="D32" s="2" t="s">
        <v>79</v>
      </c>
      <c r="E32" s="3">
        <v>4194304</v>
      </c>
      <c r="F32" s="2">
        <v>7</v>
      </c>
      <c r="G32" s="2">
        <v>3</v>
      </c>
      <c r="H32" s="3">
        <v>1024</v>
      </c>
      <c r="I32" s="3">
        <v>4096</v>
      </c>
      <c r="J32" s="2">
        <v>128</v>
      </c>
      <c r="K32" s="3">
        <v>8192</v>
      </c>
      <c r="L32" s="2">
        <v>256</v>
      </c>
      <c r="M32" s="2">
        <v>28.385899999999999</v>
      </c>
      <c r="N32" s="2">
        <v>27.306699999999999</v>
      </c>
      <c r="O32" s="2">
        <v>0.96199999999999997</v>
      </c>
      <c r="P32" s="2">
        <v>295.52</v>
      </c>
      <c r="Q32" s="2">
        <v>73.88</v>
      </c>
      <c r="R32" s="2">
        <v>101.59</v>
      </c>
      <c r="S32" s="2">
        <v>3.9828999999999999</v>
      </c>
      <c r="T32" s="2">
        <v>0.25109999999999999</v>
      </c>
      <c r="U32" s="2">
        <v>4</v>
      </c>
      <c r="V32" s="2">
        <v>99.57</v>
      </c>
      <c r="W32" s="2">
        <v>0.57599999999999996</v>
      </c>
      <c r="X32" s="2" t="s">
        <v>195</v>
      </c>
    </row>
    <row r="33" spans="1:24" x14ac:dyDescent="0.35">
      <c r="A33" s="2" t="s">
        <v>37</v>
      </c>
      <c r="B33" s="2" t="s">
        <v>40</v>
      </c>
      <c r="C33" s="2" t="s">
        <v>80</v>
      </c>
      <c r="D33" s="2" t="s">
        <v>81</v>
      </c>
      <c r="E33" s="3">
        <v>4194304</v>
      </c>
      <c r="F33" s="2">
        <v>8</v>
      </c>
      <c r="G33" s="2">
        <v>3</v>
      </c>
      <c r="H33" s="3">
        <v>2048</v>
      </c>
      <c r="I33" s="3">
        <v>2048</v>
      </c>
      <c r="J33" s="2">
        <v>64</v>
      </c>
      <c r="K33" s="3">
        <v>8192</v>
      </c>
      <c r="L33" s="2">
        <v>256</v>
      </c>
      <c r="M33" s="2">
        <v>28.4299</v>
      </c>
      <c r="N33" s="2">
        <v>27.306699999999999</v>
      </c>
      <c r="O33" s="2">
        <v>0.96050000000000002</v>
      </c>
      <c r="P33" s="2">
        <v>295.06</v>
      </c>
      <c r="Q33" s="2">
        <v>73.77</v>
      </c>
      <c r="R33" s="2">
        <v>101.43</v>
      </c>
      <c r="S33" s="2">
        <v>3.9630000000000001</v>
      </c>
      <c r="T33" s="2">
        <v>0.25230000000000002</v>
      </c>
      <c r="U33" s="2">
        <v>4</v>
      </c>
      <c r="V33" s="2">
        <v>99.08</v>
      </c>
      <c r="W33" s="2">
        <v>1.2170000000000001</v>
      </c>
      <c r="X33" s="2" t="s">
        <v>195</v>
      </c>
    </row>
    <row r="34" spans="1:24" x14ac:dyDescent="0.35">
      <c r="A34" s="2" t="s">
        <v>37</v>
      </c>
      <c r="B34" s="2" t="s">
        <v>40</v>
      </c>
      <c r="C34" s="2" t="s">
        <v>82</v>
      </c>
      <c r="D34" s="2" t="s">
        <v>83</v>
      </c>
      <c r="E34" s="3">
        <v>16777216</v>
      </c>
      <c r="F34" s="2">
        <v>9</v>
      </c>
      <c r="G34" s="2">
        <v>3</v>
      </c>
      <c r="H34" s="3">
        <v>4096</v>
      </c>
      <c r="I34" s="3">
        <v>4096</v>
      </c>
      <c r="J34" s="2">
        <v>128</v>
      </c>
      <c r="K34" s="3">
        <v>32768</v>
      </c>
      <c r="L34" s="2">
        <v>64</v>
      </c>
      <c r="M34" s="2">
        <v>113.87560000000001</v>
      </c>
      <c r="N34" s="2">
        <v>109.22669999999999</v>
      </c>
      <c r="O34" s="2">
        <v>0.95920000000000005</v>
      </c>
      <c r="P34" s="2">
        <v>294.66000000000003</v>
      </c>
      <c r="Q34" s="2">
        <v>73.66</v>
      </c>
      <c r="R34" s="2">
        <v>101.29</v>
      </c>
      <c r="S34" s="2">
        <v>3.9729000000000001</v>
      </c>
      <c r="T34" s="2">
        <v>0.25169999999999998</v>
      </c>
      <c r="U34" s="2">
        <v>4</v>
      </c>
      <c r="V34" s="2">
        <v>99.32</v>
      </c>
      <c r="W34" s="2">
        <v>0.876</v>
      </c>
      <c r="X34" s="2" t="s">
        <v>195</v>
      </c>
    </row>
    <row r="35" spans="1:24" x14ac:dyDescent="0.35">
      <c r="A35" s="2" t="s">
        <v>37</v>
      </c>
      <c r="B35" s="2" t="s">
        <v>40</v>
      </c>
      <c r="C35" s="2" t="s">
        <v>84</v>
      </c>
      <c r="D35" s="2" t="s">
        <v>85</v>
      </c>
      <c r="E35" s="3">
        <v>16777216</v>
      </c>
      <c r="F35" s="2">
        <v>10</v>
      </c>
      <c r="G35" s="2">
        <v>3</v>
      </c>
      <c r="H35" s="3">
        <v>8192</v>
      </c>
      <c r="I35" s="3">
        <v>2048</v>
      </c>
      <c r="J35" s="2">
        <v>64</v>
      </c>
      <c r="K35" s="3">
        <v>32768</v>
      </c>
      <c r="L35" s="2">
        <v>64</v>
      </c>
      <c r="M35" s="2">
        <v>113.8514</v>
      </c>
      <c r="N35" s="2">
        <v>109.22669999999999</v>
      </c>
      <c r="O35" s="2">
        <v>0.95940000000000003</v>
      </c>
      <c r="P35" s="2">
        <v>294.72000000000003</v>
      </c>
      <c r="Q35" s="2">
        <v>73.680000000000007</v>
      </c>
      <c r="R35" s="2">
        <v>101.31</v>
      </c>
      <c r="S35" s="2">
        <v>3.9874999999999998</v>
      </c>
      <c r="T35" s="2">
        <v>0.25080000000000002</v>
      </c>
      <c r="U35" s="2">
        <v>4</v>
      </c>
      <c r="V35" s="2">
        <v>99.69</v>
      </c>
      <c r="W35" s="2">
        <v>0.34399999999999997</v>
      </c>
      <c r="X35" s="2" t="s">
        <v>195</v>
      </c>
    </row>
    <row r="36" spans="1:24" x14ac:dyDescent="0.35">
      <c r="A36" s="2" t="s">
        <v>37</v>
      </c>
      <c r="B36" s="2" t="s">
        <v>40</v>
      </c>
      <c r="C36" s="2" t="s">
        <v>86</v>
      </c>
      <c r="D36" s="2" t="s">
        <v>87</v>
      </c>
      <c r="E36" s="3">
        <v>16777216</v>
      </c>
      <c r="F36" s="2">
        <v>11</v>
      </c>
      <c r="G36" s="2">
        <v>3</v>
      </c>
      <c r="H36" s="3">
        <v>2048</v>
      </c>
      <c r="I36" s="3">
        <v>8192</v>
      </c>
      <c r="J36" s="2">
        <v>256</v>
      </c>
      <c r="K36" s="3">
        <v>32768</v>
      </c>
      <c r="L36" s="2">
        <v>64</v>
      </c>
      <c r="M36" s="2">
        <v>113.20059999999999</v>
      </c>
      <c r="N36" s="2">
        <v>109.22669999999999</v>
      </c>
      <c r="O36" s="2">
        <v>0.96489999999999998</v>
      </c>
      <c r="P36" s="2">
        <v>296.42</v>
      </c>
      <c r="Q36" s="2">
        <v>74.099999999999994</v>
      </c>
      <c r="R36" s="2">
        <v>101.89</v>
      </c>
      <c r="S36" s="2">
        <v>4.0167999999999999</v>
      </c>
      <c r="T36" s="2">
        <v>0.249</v>
      </c>
      <c r="U36" s="2">
        <v>4</v>
      </c>
      <c r="V36" s="2">
        <v>100.42</v>
      </c>
      <c r="W36" s="2">
        <v>0.85699999999999998</v>
      </c>
      <c r="X36" s="2" t="s">
        <v>195</v>
      </c>
    </row>
    <row r="37" spans="1:24" x14ac:dyDescent="0.35">
      <c r="A37" s="2" t="s">
        <v>37</v>
      </c>
      <c r="B37" s="2" t="s">
        <v>40</v>
      </c>
      <c r="C37" s="2" t="s">
        <v>88</v>
      </c>
      <c r="F37" s="2">
        <v>12</v>
      </c>
      <c r="G37" s="2">
        <v>3</v>
      </c>
      <c r="O37" s="2">
        <v>0.95679999999999998</v>
      </c>
      <c r="P37" s="2">
        <v>293.92</v>
      </c>
      <c r="S37" s="2">
        <v>3.9622999999999999</v>
      </c>
      <c r="T37" s="2">
        <v>0.25240000000000001</v>
      </c>
      <c r="U37" s="2">
        <v>4</v>
      </c>
      <c r="V37" s="2">
        <v>99.06</v>
      </c>
      <c r="X37" s="2" t="s">
        <v>195</v>
      </c>
    </row>
    <row r="38" spans="1:24" x14ac:dyDescent="0.35">
      <c r="A38" s="2" t="s">
        <v>37</v>
      </c>
      <c r="B38" s="2" t="s">
        <v>42</v>
      </c>
      <c r="C38" s="2" t="s">
        <v>66</v>
      </c>
      <c r="D38" s="2" t="s">
        <v>67</v>
      </c>
      <c r="E38" s="3">
        <v>262144</v>
      </c>
      <c r="F38" s="2">
        <v>1</v>
      </c>
      <c r="G38" s="2">
        <v>4</v>
      </c>
      <c r="H38" s="2">
        <v>512</v>
      </c>
      <c r="I38" s="2">
        <v>512</v>
      </c>
      <c r="J38" s="2">
        <v>16</v>
      </c>
      <c r="K38" s="2">
        <v>256</v>
      </c>
      <c r="L38" s="3">
        <v>8192</v>
      </c>
      <c r="M38" s="2">
        <v>0.91249999999999998</v>
      </c>
      <c r="N38" s="2">
        <v>0.85329999999999995</v>
      </c>
      <c r="O38" s="2">
        <v>0.93510000000000004</v>
      </c>
      <c r="P38" s="2">
        <v>574.54</v>
      </c>
      <c r="Q38" s="2">
        <v>71.819999999999993</v>
      </c>
      <c r="R38" s="2">
        <v>98.75</v>
      </c>
      <c r="S38" s="2">
        <v>7.7542</v>
      </c>
      <c r="T38" s="2">
        <v>0.129</v>
      </c>
      <c r="U38" s="2">
        <v>8</v>
      </c>
      <c r="V38" s="2">
        <v>96.93</v>
      </c>
      <c r="W38" s="2">
        <v>1.2609999999999999</v>
      </c>
      <c r="X38" s="2" t="s">
        <v>195</v>
      </c>
    </row>
    <row r="39" spans="1:24" x14ac:dyDescent="0.35">
      <c r="A39" s="2" t="s">
        <v>37</v>
      </c>
      <c r="B39" s="2" t="s">
        <v>42</v>
      </c>
      <c r="C39" s="2" t="s">
        <v>68</v>
      </c>
      <c r="D39" s="2" t="s">
        <v>69</v>
      </c>
      <c r="E39" s="3">
        <v>589824</v>
      </c>
      <c r="F39" s="2">
        <v>2</v>
      </c>
      <c r="G39" s="2">
        <v>4</v>
      </c>
      <c r="H39" s="2">
        <v>768</v>
      </c>
      <c r="I39" s="2">
        <v>768</v>
      </c>
      <c r="J39" s="2">
        <v>24</v>
      </c>
      <c r="K39" s="2">
        <v>576</v>
      </c>
      <c r="L39" s="3">
        <v>3641</v>
      </c>
      <c r="M39" s="2">
        <v>2.0398999999999998</v>
      </c>
      <c r="N39" s="2">
        <v>1.92</v>
      </c>
      <c r="O39" s="2">
        <v>0.94120000000000004</v>
      </c>
      <c r="P39" s="2">
        <v>578.28</v>
      </c>
      <c r="Q39" s="2">
        <v>72.290000000000006</v>
      </c>
      <c r="R39" s="2">
        <v>99.39</v>
      </c>
      <c r="S39" s="2">
        <v>7.8612000000000002</v>
      </c>
      <c r="T39" s="2">
        <v>0.12720000000000001</v>
      </c>
      <c r="U39" s="2">
        <v>8</v>
      </c>
      <c r="V39" s="2">
        <v>98.26</v>
      </c>
      <c r="W39" s="2">
        <v>1.0409999999999999</v>
      </c>
      <c r="X39" s="2" t="s">
        <v>195</v>
      </c>
    </row>
    <row r="40" spans="1:24" x14ac:dyDescent="0.35">
      <c r="A40" s="2" t="s">
        <v>37</v>
      </c>
      <c r="B40" s="2" t="s">
        <v>42</v>
      </c>
      <c r="C40" s="2" t="s">
        <v>70</v>
      </c>
      <c r="D40" s="2" t="s">
        <v>71</v>
      </c>
      <c r="E40" s="3">
        <v>1048576</v>
      </c>
      <c r="F40" s="2">
        <v>3</v>
      </c>
      <c r="G40" s="2">
        <v>4</v>
      </c>
      <c r="H40" s="3">
        <v>1024</v>
      </c>
      <c r="I40" s="3">
        <v>1024</v>
      </c>
      <c r="J40" s="2">
        <v>32</v>
      </c>
      <c r="K40" s="3">
        <v>1024</v>
      </c>
      <c r="L40" s="3">
        <v>2048</v>
      </c>
      <c r="M40" s="2">
        <v>3.5752000000000002</v>
      </c>
      <c r="N40" s="2">
        <v>3.4133</v>
      </c>
      <c r="O40" s="2">
        <v>0.95469999999999999</v>
      </c>
      <c r="P40" s="2">
        <v>586.58000000000004</v>
      </c>
      <c r="Q40" s="2">
        <v>73.319999999999993</v>
      </c>
      <c r="R40" s="2">
        <v>100.82</v>
      </c>
      <c r="S40" s="2">
        <v>7.7714999999999996</v>
      </c>
      <c r="T40" s="2">
        <v>0.12870000000000001</v>
      </c>
      <c r="U40" s="2">
        <v>8</v>
      </c>
      <c r="V40" s="2">
        <v>97.14</v>
      </c>
      <c r="W40" s="2">
        <v>1.9490000000000001</v>
      </c>
      <c r="X40" s="2" t="s">
        <v>195</v>
      </c>
    </row>
    <row r="41" spans="1:24" x14ac:dyDescent="0.35">
      <c r="A41" s="2" t="s">
        <v>37</v>
      </c>
      <c r="B41" s="2" t="s">
        <v>42</v>
      </c>
      <c r="C41" s="2" t="s">
        <v>72</v>
      </c>
      <c r="D41" s="2" t="s">
        <v>73</v>
      </c>
      <c r="E41" s="3">
        <v>2359296</v>
      </c>
      <c r="F41" s="2">
        <v>4</v>
      </c>
      <c r="G41" s="2">
        <v>4</v>
      </c>
      <c r="H41" s="3">
        <v>3072</v>
      </c>
      <c r="I41" s="2">
        <v>768</v>
      </c>
      <c r="J41" s="2">
        <v>24</v>
      </c>
      <c r="K41" s="3">
        <v>2304</v>
      </c>
      <c r="L41" s="2">
        <v>911</v>
      </c>
      <c r="M41" s="2">
        <v>8.0447000000000006</v>
      </c>
      <c r="N41" s="2">
        <v>7.68</v>
      </c>
      <c r="O41" s="2">
        <v>0.95469999999999999</v>
      </c>
      <c r="P41" s="2">
        <v>586.54999999999995</v>
      </c>
      <c r="Q41" s="2">
        <v>73.319999999999993</v>
      </c>
      <c r="R41" s="2">
        <v>100.81</v>
      </c>
      <c r="S41" s="2">
        <v>7.8708</v>
      </c>
      <c r="T41" s="2">
        <v>0.12709999999999999</v>
      </c>
      <c r="U41" s="2">
        <v>8</v>
      </c>
      <c r="V41" s="2">
        <v>98.38</v>
      </c>
      <c r="W41" s="2">
        <v>1.738</v>
      </c>
      <c r="X41" s="2" t="s">
        <v>195</v>
      </c>
    </row>
    <row r="42" spans="1:24" x14ac:dyDescent="0.35">
      <c r="A42" s="2" t="s">
        <v>37</v>
      </c>
      <c r="B42" s="2" t="s">
        <v>42</v>
      </c>
      <c r="C42" s="2" t="s">
        <v>74</v>
      </c>
      <c r="D42" s="2" t="s">
        <v>75</v>
      </c>
      <c r="E42" s="3">
        <v>2359296</v>
      </c>
      <c r="F42" s="2">
        <v>5</v>
      </c>
      <c r="G42" s="2">
        <v>4</v>
      </c>
      <c r="H42" s="2">
        <v>768</v>
      </c>
      <c r="I42" s="3">
        <v>3072</v>
      </c>
      <c r="J42" s="2">
        <v>96</v>
      </c>
      <c r="K42" s="3">
        <v>2304</v>
      </c>
      <c r="L42" s="2">
        <v>911</v>
      </c>
      <c r="M42" s="2">
        <v>7.9032999999999998</v>
      </c>
      <c r="N42" s="2">
        <v>7.68</v>
      </c>
      <c r="O42" s="2">
        <v>0.97170000000000001</v>
      </c>
      <c r="P42" s="2">
        <v>597.04</v>
      </c>
      <c r="Q42" s="2">
        <v>74.63</v>
      </c>
      <c r="R42" s="2">
        <v>102.62</v>
      </c>
      <c r="S42" s="2">
        <v>8.0741999999999994</v>
      </c>
      <c r="T42" s="2">
        <v>0.1239</v>
      </c>
      <c r="U42" s="2">
        <v>8</v>
      </c>
      <c r="V42" s="2">
        <v>100.93</v>
      </c>
      <c r="W42" s="2">
        <v>2.4649999999999999</v>
      </c>
      <c r="X42" s="2" t="s">
        <v>195</v>
      </c>
    </row>
    <row r="43" spans="1:24" x14ac:dyDescent="0.35">
      <c r="A43" s="2" t="s">
        <v>37</v>
      </c>
      <c r="B43" s="2" t="s">
        <v>42</v>
      </c>
      <c r="C43" s="2" t="s">
        <v>76</v>
      </c>
      <c r="D43" s="2" t="s">
        <v>77</v>
      </c>
      <c r="E43" s="3">
        <v>4194304</v>
      </c>
      <c r="F43" s="2">
        <v>6</v>
      </c>
      <c r="G43" s="2">
        <v>4</v>
      </c>
      <c r="H43" s="3">
        <v>4096</v>
      </c>
      <c r="I43" s="3">
        <v>1024</v>
      </c>
      <c r="J43" s="2">
        <v>32</v>
      </c>
      <c r="K43" s="3">
        <v>4096</v>
      </c>
      <c r="L43" s="2">
        <v>512</v>
      </c>
      <c r="M43" s="2">
        <v>14.2766</v>
      </c>
      <c r="N43" s="2">
        <v>13.6533</v>
      </c>
      <c r="O43" s="2">
        <v>0.95630000000000004</v>
      </c>
      <c r="P43" s="2">
        <v>587.58000000000004</v>
      </c>
      <c r="Q43" s="2">
        <v>73.45</v>
      </c>
      <c r="R43" s="2">
        <v>100.99</v>
      </c>
      <c r="S43" s="2">
        <v>7.9565999999999999</v>
      </c>
      <c r="T43" s="2">
        <v>0.12570000000000001</v>
      </c>
      <c r="U43" s="2">
        <v>8</v>
      </c>
      <c r="V43" s="2">
        <v>99.46</v>
      </c>
      <c r="W43" s="2">
        <v>0.95399999999999996</v>
      </c>
      <c r="X43" s="2" t="s">
        <v>195</v>
      </c>
    </row>
    <row r="44" spans="1:24" x14ac:dyDescent="0.35">
      <c r="A44" s="2" t="s">
        <v>37</v>
      </c>
      <c r="B44" s="2" t="s">
        <v>42</v>
      </c>
      <c r="C44" s="2" t="s">
        <v>78</v>
      </c>
      <c r="D44" s="2" t="s">
        <v>79</v>
      </c>
      <c r="E44" s="3">
        <v>4194304</v>
      </c>
      <c r="F44" s="2">
        <v>7</v>
      </c>
      <c r="G44" s="2">
        <v>4</v>
      </c>
      <c r="H44" s="3">
        <v>1024</v>
      </c>
      <c r="I44" s="3">
        <v>4096</v>
      </c>
      <c r="J44" s="2">
        <v>128</v>
      </c>
      <c r="K44" s="3">
        <v>4096</v>
      </c>
      <c r="L44" s="2">
        <v>512</v>
      </c>
      <c r="M44" s="2">
        <v>14.176500000000001</v>
      </c>
      <c r="N44" s="2">
        <v>13.6533</v>
      </c>
      <c r="O44" s="2">
        <v>0.96309999999999996</v>
      </c>
      <c r="P44" s="2">
        <v>591.73</v>
      </c>
      <c r="Q44" s="2">
        <v>73.97</v>
      </c>
      <c r="R44" s="2">
        <v>101.7</v>
      </c>
      <c r="S44" s="2">
        <v>7.9751000000000003</v>
      </c>
      <c r="T44" s="2">
        <v>0.12540000000000001</v>
      </c>
      <c r="U44" s="2">
        <v>8</v>
      </c>
      <c r="V44" s="2">
        <v>99.69</v>
      </c>
      <c r="W44" s="2">
        <v>0.61599999999999999</v>
      </c>
      <c r="X44" s="2" t="s">
        <v>195</v>
      </c>
    </row>
    <row r="45" spans="1:24" x14ac:dyDescent="0.35">
      <c r="A45" s="2" t="s">
        <v>37</v>
      </c>
      <c r="B45" s="2" t="s">
        <v>42</v>
      </c>
      <c r="C45" s="2" t="s">
        <v>80</v>
      </c>
      <c r="D45" s="2" t="s">
        <v>81</v>
      </c>
      <c r="E45" s="3">
        <v>4194304</v>
      </c>
      <c r="F45" s="2">
        <v>8</v>
      </c>
      <c r="G45" s="2">
        <v>4</v>
      </c>
      <c r="H45" s="3">
        <v>2048</v>
      </c>
      <c r="I45" s="3">
        <v>2048</v>
      </c>
      <c r="J45" s="2">
        <v>64</v>
      </c>
      <c r="K45" s="3">
        <v>4096</v>
      </c>
      <c r="L45" s="2">
        <v>512</v>
      </c>
      <c r="M45" s="2">
        <v>14.080399999999999</v>
      </c>
      <c r="N45" s="2">
        <v>13.6533</v>
      </c>
      <c r="O45" s="2">
        <v>0.96970000000000001</v>
      </c>
      <c r="P45" s="2">
        <v>595.76</v>
      </c>
      <c r="Q45" s="2">
        <v>74.47</v>
      </c>
      <c r="R45" s="2">
        <v>102.4</v>
      </c>
      <c r="S45" s="2">
        <v>8.0017999999999994</v>
      </c>
      <c r="T45" s="2">
        <v>0.125</v>
      </c>
      <c r="U45" s="2">
        <v>8</v>
      </c>
      <c r="V45" s="2">
        <v>100.02</v>
      </c>
      <c r="W45" s="2">
        <v>1.2549999999999999</v>
      </c>
      <c r="X45" s="2" t="s">
        <v>195</v>
      </c>
    </row>
    <row r="46" spans="1:24" x14ac:dyDescent="0.35">
      <c r="A46" s="2" t="s">
        <v>37</v>
      </c>
      <c r="B46" s="2" t="s">
        <v>42</v>
      </c>
      <c r="C46" s="2" t="s">
        <v>82</v>
      </c>
      <c r="D46" s="2" t="s">
        <v>83</v>
      </c>
      <c r="E46" s="3">
        <v>16777216</v>
      </c>
      <c r="F46" s="2">
        <v>9</v>
      </c>
      <c r="G46" s="2">
        <v>4</v>
      </c>
      <c r="H46" s="3">
        <v>4096</v>
      </c>
      <c r="I46" s="3">
        <v>4096</v>
      </c>
      <c r="J46" s="2">
        <v>128</v>
      </c>
      <c r="K46" s="3">
        <v>16384</v>
      </c>
      <c r="L46" s="2">
        <v>128</v>
      </c>
      <c r="M46" s="2">
        <v>56.578699999999998</v>
      </c>
      <c r="N46" s="2">
        <v>54.613300000000002</v>
      </c>
      <c r="O46" s="2">
        <v>0.96530000000000005</v>
      </c>
      <c r="P46" s="2">
        <v>593.05999999999995</v>
      </c>
      <c r="Q46" s="2">
        <v>74.13</v>
      </c>
      <c r="R46" s="2">
        <v>101.93</v>
      </c>
      <c r="S46" s="2">
        <v>7.9962999999999997</v>
      </c>
      <c r="T46" s="2">
        <v>0.12509999999999999</v>
      </c>
      <c r="U46" s="2">
        <v>8</v>
      </c>
      <c r="V46" s="2">
        <v>99.95</v>
      </c>
      <c r="W46" s="2">
        <v>1.635</v>
      </c>
      <c r="X46" s="2" t="s">
        <v>195</v>
      </c>
    </row>
    <row r="47" spans="1:24" x14ac:dyDescent="0.35">
      <c r="A47" s="2" t="s">
        <v>37</v>
      </c>
      <c r="B47" s="2" t="s">
        <v>42</v>
      </c>
      <c r="C47" s="2" t="s">
        <v>84</v>
      </c>
      <c r="D47" s="2" t="s">
        <v>85</v>
      </c>
      <c r="E47" s="3">
        <v>16777216</v>
      </c>
      <c r="F47" s="2">
        <v>10</v>
      </c>
      <c r="G47" s="2">
        <v>4</v>
      </c>
      <c r="H47" s="3">
        <v>8192</v>
      </c>
      <c r="I47" s="3">
        <v>2048</v>
      </c>
      <c r="J47" s="2">
        <v>64</v>
      </c>
      <c r="K47" s="3">
        <v>16384</v>
      </c>
      <c r="L47" s="2">
        <v>128</v>
      </c>
      <c r="M47" s="2">
        <v>56.970500000000001</v>
      </c>
      <c r="N47" s="2">
        <v>54.613300000000002</v>
      </c>
      <c r="O47" s="2">
        <v>0.95860000000000001</v>
      </c>
      <c r="P47" s="2">
        <v>588.98</v>
      </c>
      <c r="Q47" s="2">
        <v>73.62</v>
      </c>
      <c r="R47" s="2">
        <v>101.23</v>
      </c>
      <c r="S47" s="2">
        <v>7.9686000000000003</v>
      </c>
      <c r="T47" s="2">
        <v>0.1255</v>
      </c>
      <c r="U47" s="2">
        <v>8</v>
      </c>
      <c r="V47" s="2">
        <v>99.61</v>
      </c>
      <c r="W47" s="2">
        <v>0.25700000000000001</v>
      </c>
      <c r="X47" s="2" t="s">
        <v>195</v>
      </c>
    </row>
    <row r="48" spans="1:24" x14ac:dyDescent="0.35">
      <c r="A48" s="2" t="s">
        <v>37</v>
      </c>
      <c r="B48" s="2" t="s">
        <v>42</v>
      </c>
      <c r="C48" s="2" t="s">
        <v>86</v>
      </c>
      <c r="D48" s="2" t="s">
        <v>87</v>
      </c>
      <c r="E48" s="3">
        <v>16777216</v>
      </c>
      <c r="F48" s="2">
        <v>11</v>
      </c>
      <c r="G48" s="2">
        <v>4</v>
      </c>
      <c r="H48" s="3">
        <v>2048</v>
      </c>
      <c r="I48" s="3">
        <v>8192</v>
      </c>
      <c r="J48" s="2">
        <v>256</v>
      </c>
      <c r="K48" s="3">
        <v>16384</v>
      </c>
      <c r="L48" s="2">
        <v>128</v>
      </c>
      <c r="M48" s="2">
        <v>56.651400000000002</v>
      </c>
      <c r="N48" s="2">
        <v>54.613300000000002</v>
      </c>
      <c r="O48" s="2">
        <v>0.96399999999999997</v>
      </c>
      <c r="P48" s="2">
        <v>592.29999999999995</v>
      </c>
      <c r="Q48" s="2">
        <v>74.040000000000006</v>
      </c>
      <c r="R48" s="2">
        <v>101.8</v>
      </c>
      <c r="S48" s="2">
        <v>8.0263000000000009</v>
      </c>
      <c r="T48" s="2">
        <v>0.1246</v>
      </c>
      <c r="U48" s="2">
        <v>8</v>
      </c>
      <c r="V48" s="2">
        <v>100.33</v>
      </c>
      <c r="W48" s="2">
        <v>4.9930000000000003</v>
      </c>
      <c r="X48" s="2" t="s">
        <v>195</v>
      </c>
    </row>
    <row r="49" spans="1:24" x14ac:dyDescent="0.35">
      <c r="A49" s="2" t="s">
        <v>37</v>
      </c>
      <c r="B49" s="2" t="s">
        <v>42</v>
      </c>
      <c r="C49" s="2" t="s">
        <v>88</v>
      </c>
      <c r="F49" s="2">
        <v>12</v>
      </c>
      <c r="G49" s="2">
        <v>4</v>
      </c>
      <c r="O49" s="2">
        <v>0.9577</v>
      </c>
      <c r="P49" s="2">
        <v>588.4</v>
      </c>
      <c r="S49" s="2">
        <v>7.9318</v>
      </c>
      <c r="T49" s="2">
        <v>0.12609999999999999</v>
      </c>
      <c r="U49" s="2">
        <v>8</v>
      </c>
      <c r="V49" s="2">
        <v>99.15</v>
      </c>
      <c r="X49" s="2" t="s">
        <v>195</v>
      </c>
    </row>
    <row r="50" spans="1:24" x14ac:dyDescent="0.35">
      <c r="A50" s="2" t="s">
        <v>37</v>
      </c>
      <c r="B50" s="2" t="s">
        <v>44</v>
      </c>
      <c r="C50" s="2" t="s">
        <v>66</v>
      </c>
      <c r="D50" s="2" t="s">
        <v>67</v>
      </c>
      <c r="E50" s="3">
        <v>262144</v>
      </c>
      <c r="F50" s="2">
        <v>1</v>
      </c>
      <c r="G50" s="2">
        <v>5</v>
      </c>
      <c r="H50" s="2">
        <v>512</v>
      </c>
      <c r="I50" s="2">
        <v>512</v>
      </c>
      <c r="J50" s="2">
        <v>16</v>
      </c>
      <c r="K50" s="2">
        <v>128</v>
      </c>
      <c r="L50" s="3">
        <v>16384</v>
      </c>
      <c r="M50" s="2">
        <v>0.4657</v>
      </c>
      <c r="N50" s="2">
        <v>0.42670000000000002</v>
      </c>
      <c r="O50" s="2">
        <v>0.91620000000000001</v>
      </c>
      <c r="P50" s="2">
        <v>1125.8900000000001</v>
      </c>
      <c r="Q50" s="2">
        <v>70.37</v>
      </c>
      <c r="R50" s="2">
        <v>96.76</v>
      </c>
      <c r="S50" s="2">
        <v>15.1937</v>
      </c>
      <c r="T50" s="2">
        <v>6.5799999999999997E-2</v>
      </c>
      <c r="U50" s="2">
        <v>16</v>
      </c>
      <c r="V50" s="2">
        <v>94.96</v>
      </c>
      <c r="W50" s="2">
        <v>1.39</v>
      </c>
      <c r="X50" s="2" t="s">
        <v>195</v>
      </c>
    </row>
    <row r="51" spans="1:24" x14ac:dyDescent="0.35">
      <c r="A51" s="2" t="s">
        <v>37</v>
      </c>
      <c r="B51" s="2" t="s">
        <v>44</v>
      </c>
      <c r="C51" s="2" t="s">
        <v>68</v>
      </c>
      <c r="D51" s="2" t="s">
        <v>69</v>
      </c>
      <c r="E51" s="3">
        <v>589824</v>
      </c>
      <c r="F51" s="2">
        <v>2</v>
      </c>
      <c r="G51" s="2">
        <v>5</v>
      </c>
      <c r="H51" s="2">
        <v>768</v>
      </c>
      <c r="I51" s="2">
        <v>768</v>
      </c>
      <c r="J51" s="2">
        <v>24</v>
      </c>
      <c r="K51" s="2">
        <v>288</v>
      </c>
      <c r="L51" s="3">
        <v>7282</v>
      </c>
      <c r="M51" s="2">
        <v>1.0187999999999999</v>
      </c>
      <c r="N51" s="2">
        <v>0.96</v>
      </c>
      <c r="O51" s="2">
        <v>0.94230000000000003</v>
      </c>
      <c r="P51" s="2">
        <v>1157.8399999999999</v>
      </c>
      <c r="Q51" s="2">
        <v>72.37</v>
      </c>
      <c r="R51" s="2">
        <v>99.5</v>
      </c>
      <c r="S51" s="2">
        <v>15.7401</v>
      </c>
      <c r="T51" s="2">
        <v>6.3500000000000001E-2</v>
      </c>
      <c r="U51" s="2">
        <v>16</v>
      </c>
      <c r="V51" s="2">
        <v>98.38</v>
      </c>
      <c r="W51" s="2">
        <v>0.93</v>
      </c>
      <c r="X51" s="2" t="s">
        <v>195</v>
      </c>
    </row>
    <row r="52" spans="1:24" x14ac:dyDescent="0.35">
      <c r="A52" s="2" t="s">
        <v>37</v>
      </c>
      <c r="B52" s="2" t="s">
        <v>44</v>
      </c>
      <c r="C52" s="2" t="s">
        <v>70</v>
      </c>
      <c r="D52" s="2" t="s">
        <v>71</v>
      </c>
      <c r="E52" s="3">
        <v>1048576</v>
      </c>
      <c r="F52" s="2">
        <v>3</v>
      </c>
      <c r="G52" s="2">
        <v>5</v>
      </c>
      <c r="H52" s="3">
        <v>1024</v>
      </c>
      <c r="I52" s="3">
        <v>1024</v>
      </c>
      <c r="J52" s="2">
        <v>32</v>
      </c>
      <c r="K52" s="2">
        <v>512</v>
      </c>
      <c r="L52" s="3">
        <v>4096</v>
      </c>
      <c r="M52" s="2">
        <v>1.7924</v>
      </c>
      <c r="N52" s="2">
        <v>1.7067000000000001</v>
      </c>
      <c r="O52" s="2">
        <v>0.95220000000000005</v>
      </c>
      <c r="P52" s="2">
        <v>1170.03</v>
      </c>
      <c r="Q52" s="2">
        <v>73.13</v>
      </c>
      <c r="R52" s="2">
        <v>100.55</v>
      </c>
      <c r="S52" s="2">
        <v>15.5015</v>
      </c>
      <c r="T52" s="2">
        <v>6.4500000000000002E-2</v>
      </c>
      <c r="U52" s="2">
        <v>16</v>
      </c>
      <c r="V52" s="2">
        <v>96.88</v>
      </c>
      <c r="W52" s="2">
        <v>1.242</v>
      </c>
      <c r="X52" s="2" t="s">
        <v>195</v>
      </c>
    </row>
    <row r="53" spans="1:24" x14ac:dyDescent="0.35">
      <c r="A53" s="2" t="s">
        <v>37</v>
      </c>
      <c r="B53" s="2" t="s">
        <v>44</v>
      </c>
      <c r="C53" s="2" t="s">
        <v>72</v>
      </c>
      <c r="D53" s="2" t="s">
        <v>73</v>
      </c>
      <c r="E53" s="3">
        <v>2359296</v>
      </c>
      <c r="F53" s="2">
        <v>4</v>
      </c>
      <c r="G53" s="2">
        <v>5</v>
      </c>
      <c r="H53" s="3">
        <v>3072</v>
      </c>
      <c r="I53" s="2">
        <v>768</v>
      </c>
      <c r="J53" s="2">
        <v>24</v>
      </c>
      <c r="K53" s="3">
        <v>1152</v>
      </c>
      <c r="L53" s="3">
        <v>1821</v>
      </c>
      <c r="M53" s="2">
        <v>4.0896999999999997</v>
      </c>
      <c r="N53" s="2">
        <v>3.84</v>
      </c>
      <c r="O53" s="2">
        <v>0.93899999999999995</v>
      </c>
      <c r="P53" s="2">
        <v>1153.79</v>
      </c>
      <c r="Q53" s="2">
        <v>72.11</v>
      </c>
      <c r="R53" s="2">
        <v>99.15</v>
      </c>
      <c r="S53" s="2">
        <v>15.4823</v>
      </c>
      <c r="T53" s="2">
        <v>6.4600000000000005E-2</v>
      </c>
      <c r="U53" s="2">
        <v>16</v>
      </c>
      <c r="V53" s="2">
        <v>96.76</v>
      </c>
      <c r="W53" s="2">
        <v>0.85699999999999998</v>
      </c>
      <c r="X53" s="2" t="s">
        <v>195</v>
      </c>
    </row>
    <row r="54" spans="1:24" x14ac:dyDescent="0.35">
      <c r="A54" s="2" t="s">
        <v>37</v>
      </c>
      <c r="B54" s="2" t="s">
        <v>44</v>
      </c>
      <c r="C54" s="2" t="s">
        <v>74</v>
      </c>
      <c r="D54" s="2" t="s">
        <v>75</v>
      </c>
      <c r="E54" s="3">
        <v>2359296</v>
      </c>
      <c r="F54" s="2">
        <v>5</v>
      </c>
      <c r="G54" s="2">
        <v>5</v>
      </c>
      <c r="H54" s="2">
        <v>768</v>
      </c>
      <c r="I54" s="3">
        <v>3072</v>
      </c>
      <c r="J54" s="2">
        <v>96</v>
      </c>
      <c r="K54" s="3">
        <v>1152</v>
      </c>
      <c r="L54" s="3">
        <v>1821</v>
      </c>
      <c r="M54" s="2">
        <v>3.9411</v>
      </c>
      <c r="N54" s="2">
        <v>3.84</v>
      </c>
      <c r="O54" s="2">
        <v>0.97430000000000005</v>
      </c>
      <c r="P54" s="2">
        <v>1197.28</v>
      </c>
      <c r="Q54" s="2">
        <v>74.83</v>
      </c>
      <c r="R54" s="2">
        <v>102.89</v>
      </c>
      <c r="S54" s="2">
        <v>16.191600000000001</v>
      </c>
      <c r="T54" s="2">
        <v>6.1800000000000001E-2</v>
      </c>
      <c r="U54" s="2">
        <v>16</v>
      </c>
      <c r="V54" s="2">
        <v>101.2</v>
      </c>
      <c r="W54" s="2">
        <v>2.57</v>
      </c>
      <c r="X54" s="2" t="s">
        <v>195</v>
      </c>
    </row>
    <row r="55" spans="1:24" x14ac:dyDescent="0.35">
      <c r="A55" s="2" t="s">
        <v>37</v>
      </c>
      <c r="B55" s="2" t="s">
        <v>44</v>
      </c>
      <c r="C55" s="2" t="s">
        <v>76</v>
      </c>
      <c r="D55" s="2" t="s">
        <v>77</v>
      </c>
      <c r="E55" s="3">
        <v>4194304</v>
      </c>
      <c r="F55" s="2">
        <v>6</v>
      </c>
      <c r="G55" s="2">
        <v>5</v>
      </c>
      <c r="H55" s="3">
        <v>4096</v>
      </c>
      <c r="I55" s="3">
        <v>1024</v>
      </c>
      <c r="J55" s="2">
        <v>32</v>
      </c>
      <c r="K55" s="3">
        <v>2048</v>
      </c>
      <c r="L55" s="3">
        <v>1024</v>
      </c>
      <c r="M55" s="2">
        <v>7.2076000000000002</v>
      </c>
      <c r="N55" s="2">
        <v>6.8266999999999998</v>
      </c>
      <c r="O55" s="2">
        <v>0.94710000000000005</v>
      </c>
      <c r="P55" s="2">
        <v>1163.8599999999999</v>
      </c>
      <c r="Q55" s="2">
        <v>72.739999999999995</v>
      </c>
      <c r="R55" s="2">
        <v>100.02</v>
      </c>
      <c r="S55" s="2">
        <v>15.760300000000001</v>
      </c>
      <c r="T55" s="2">
        <v>6.3500000000000001E-2</v>
      </c>
      <c r="U55" s="2">
        <v>16</v>
      </c>
      <c r="V55" s="2">
        <v>98.5</v>
      </c>
      <c r="W55" s="2">
        <v>0.877</v>
      </c>
      <c r="X55" s="2" t="s">
        <v>195</v>
      </c>
    </row>
    <row r="56" spans="1:24" x14ac:dyDescent="0.35">
      <c r="A56" s="2" t="s">
        <v>37</v>
      </c>
      <c r="B56" s="2" t="s">
        <v>44</v>
      </c>
      <c r="C56" s="2" t="s">
        <v>78</v>
      </c>
      <c r="D56" s="2" t="s">
        <v>79</v>
      </c>
      <c r="E56" s="3">
        <v>4194304</v>
      </c>
      <c r="F56" s="2">
        <v>7</v>
      </c>
      <c r="G56" s="2">
        <v>5</v>
      </c>
      <c r="H56" s="3">
        <v>1024</v>
      </c>
      <c r="I56" s="3">
        <v>4096</v>
      </c>
      <c r="J56" s="2">
        <v>128</v>
      </c>
      <c r="K56" s="3">
        <v>2048</v>
      </c>
      <c r="L56" s="3">
        <v>1024</v>
      </c>
      <c r="M56" s="2">
        <v>7.05</v>
      </c>
      <c r="N56" s="2">
        <v>6.8266999999999998</v>
      </c>
      <c r="O56" s="2">
        <v>0.96830000000000005</v>
      </c>
      <c r="P56" s="2">
        <v>1189.8699999999999</v>
      </c>
      <c r="Q56" s="2">
        <v>74.37</v>
      </c>
      <c r="R56" s="2">
        <v>102.25</v>
      </c>
      <c r="S56" s="2">
        <v>16.0367</v>
      </c>
      <c r="T56" s="2">
        <v>6.2399999999999997E-2</v>
      </c>
      <c r="U56" s="2">
        <v>16</v>
      </c>
      <c r="V56" s="2">
        <v>100.23</v>
      </c>
      <c r="W56" s="2">
        <v>0.81399999999999995</v>
      </c>
      <c r="X56" s="2" t="s">
        <v>195</v>
      </c>
    </row>
    <row r="57" spans="1:24" x14ac:dyDescent="0.35">
      <c r="A57" s="2" t="s">
        <v>37</v>
      </c>
      <c r="B57" s="2" t="s">
        <v>44</v>
      </c>
      <c r="C57" s="2" t="s">
        <v>80</v>
      </c>
      <c r="D57" s="2" t="s">
        <v>81</v>
      </c>
      <c r="E57" s="3">
        <v>4194304</v>
      </c>
      <c r="F57" s="2">
        <v>8</v>
      </c>
      <c r="G57" s="2">
        <v>5</v>
      </c>
      <c r="H57" s="3">
        <v>2048</v>
      </c>
      <c r="I57" s="3">
        <v>2048</v>
      </c>
      <c r="J57" s="2">
        <v>64</v>
      </c>
      <c r="K57" s="3">
        <v>2048</v>
      </c>
      <c r="L57" s="3">
        <v>1024</v>
      </c>
      <c r="M57" s="2">
        <v>7.1193</v>
      </c>
      <c r="N57" s="2">
        <v>6.8266999999999998</v>
      </c>
      <c r="O57" s="2">
        <v>0.95889999999999997</v>
      </c>
      <c r="P57" s="2">
        <v>1178.3</v>
      </c>
      <c r="Q57" s="2">
        <v>73.64</v>
      </c>
      <c r="R57" s="2">
        <v>101.26</v>
      </c>
      <c r="S57" s="2">
        <v>15.825799999999999</v>
      </c>
      <c r="T57" s="2">
        <v>6.3200000000000006E-2</v>
      </c>
      <c r="U57" s="2">
        <v>16</v>
      </c>
      <c r="V57" s="2">
        <v>98.91</v>
      </c>
      <c r="W57" s="2">
        <v>0.58499999999999996</v>
      </c>
      <c r="X57" s="2" t="s">
        <v>195</v>
      </c>
    </row>
    <row r="58" spans="1:24" x14ac:dyDescent="0.35">
      <c r="A58" s="2" t="s">
        <v>37</v>
      </c>
      <c r="B58" s="2" t="s">
        <v>44</v>
      </c>
      <c r="C58" s="2" t="s">
        <v>82</v>
      </c>
      <c r="D58" s="2" t="s">
        <v>83</v>
      </c>
      <c r="E58" s="3">
        <v>16777216</v>
      </c>
      <c r="F58" s="2">
        <v>9</v>
      </c>
      <c r="G58" s="2">
        <v>5</v>
      </c>
      <c r="H58" s="3">
        <v>4096</v>
      </c>
      <c r="I58" s="3">
        <v>4096</v>
      </c>
      <c r="J58" s="2">
        <v>128</v>
      </c>
      <c r="K58" s="3">
        <v>8192</v>
      </c>
      <c r="L58" s="2">
        <v>256</v>
      </c>
      <c r="M58" s="2">
        <v>28.266400000000001</v>
      </c>
      <c r="N58" s="2">
        <v>27.306699999999999</v>
      </c>
      <c r="O58" s="2">
        <v>0.96599999999999997</v>
      </c>
      <c r="P58" s="2">
        <v>1187.08</v>
      </c>
      <c r="Q58" s="2">
        <v>74.19</v>
      </c>
      <c r="R58" s="2">
        <v>102.01</v>
      </c>
      <c r="S58" s="2">
        <v>16.005600000000001</v>
      </c>
      <c r="T58" s="2">
        <v>6.25E-2</v>
      </c>
      <c r="U58" s="2">
        <v>16</v>
      </c>
      <c r="V58" s="2">
        <v>100.03</v>
      </c>
      <c r="W58" s="2">
        <v>0.64800000000000002</v>
      </c>
      <c r="X58" s="2" t="s">
        <v>195</v>
      </c>
    </row>
    <row r="59" spans="1:24" x14ac:dyDescent="0.35">
      <c r="A59" s="2" t="s">
        <v>37</v>
      </c>
      <c r="B59" s="2" t="s">
        <v>44</v>
      </c>
      <c r="C59" s="2" t="s">
        <v>84</v>
      </c>
      <c r="D59" s="2" t="s">
        <v>85</v>
      </c>
      <c r="E59" s="3">
        <v>16777216</v>
      </c>
      <c r="F59" s="2">
        <v>10</v>
      </c>
      <c r="G59" s="2">
        <v>5</v>
      </c>
      <c r="H59" s="3">
        <v>8192</v>
      </c>
      <c r="I59" s="3">
        <v>2048</v>
      </c>
      <c r="J59" s="2">
        <v>64</v>
      </c>
      <c r="K59" s="3">
        <v>8192</v>
      </c>
      <c r="L59" s="2">
        <v>256</v>
      </c>
      <c r="M59" s="2">
        <v>28.450299999999999</v>
      </c>
      <c r="N59" s="2">
        <v>27.306699999999999</v>
      </c>
      <c r="O59" s="2">
        <v>0.95979999999999999</v>
      </c>
      <c r="P59" s="2">
        <v>1179.4100000000001</v>
      </c>
      <c r="Q59" s="2">
        <v>73.709999999999994</v>
      </c>
      <c r="R59" s="2">
        <v>101.36</v>
      </c>
      <c r="S59" s="2">
        <v>15.956899999999999</v>
      </c>
      <c r="T59" s="2">
        <v>6.2700000000000006E-2</v>
      </c>
      <c r="U59" s="2">
        <v>16</v>
      </c>
      <c r="V59" s="2">
        <v>99.73</v>
      </c>
      <c r="W59" s="2">
        <v>0.91</v>
      </c>
      <c r="X59" s="2" t="s">
        <v>195</v>
      </c>
    </row>
    <row r="60" spans="1:24" x14ac:dyDescent="0.35">
      <c r="A60" s="2" t="s">
        <v>37</v>
      </c>
      <c r="B60" s="2" t="s">
        <v>44</v>
      </c>
      <c r="C60" s="2" t="s">
        <v>86</v>
      </c>
      <c r="D60" s="2" t="s">
        <v>87</v>
      </c>
      <c r="E60" s="3">
        <v>16777216</v>
      </c>
      <c r="F60" s="2">
        <v>11</v>
      </c>
      <c r="G60" s="2">
        <v>5</v>
      </c>
      <c r="H60" s="3">
        <v>2048</v>
      </c>
      <c r="I60" s="3">
        <v>8192</v>
      </c>
      <c r="J60" s="2">
        <v>256</v>
      </c>
      <c r="K60" s="3">
        <v>8192</v>
      </c>
      <c r="L60" s="2">
        <v>256</v>
      </c>
      <c r="M60" s="2">
        <v>27.9589</v>
      </c>
      <c r="N60" s="2">
        <v>27.306699999999999</v>
      </c>
      <c r="O60" s="2">
        <v>0.97670000000000001</v>
      </c>
      <c r="P60" s="2">
        <v>1200.1300000000001</v>
      </c>
      <c r="Q60" s="2">
        <v>75.010000000000005</v>
      </c>
      <c r="R60" s="2">
        <v>103.14</v>
      </c>
      <c r="S60" s="2">
        <v>16.263200000000001</v>
      </c>
      <c r="T60" s="2">
        <v>6.1499999999999999E-2</v>
      </c>
      <c r="U60" s="2">
        <v>16</v>
      </c>
      <c r="V60" s="2">
        <v>101.65</v>
      </c>
      <c r="W60" s="2">
        <v>1.554</v>
      </c>
      <c r="X60" s="2" t="s">
        <v>195</v>
      </c>
    </row>
    <row r="61" spans="1:24" x14ac:dyDescent="0.35">
      <c r="A61" s="2" t="s">
        <v>37</v>
      </c>
      <c r="B61" s="2" t="s">
        <v>44</v>
      </c>
      <c r="C61" s="2" t="s">
        <v>88</v>
      </c>
      <c r="F61" s="2">
        <v>12</v>
      </c>
      <c r="G61" s="2">
        <v>5</v>
      </c>
      <c r="O61" s="2">
        <v>0.9546</v>
      </c>
      <c r="P61" s="2">
        <v>1173.04</v>
      </c>
      <c r="S61" s="2">
        <v>15.811299999999999</v>
      </c>
      <c r="T61" s="2">
        <v>6.3200000000000006E-2</v>
      </c>
      <c r="U61" s="2">
        <v>16</v>
      </c>
      <c r="V61" s="2">
        <v>98.82</v>
      </c>
      <c r="X61" s="2" t="s">
        <v>195</v>
      </c>
    </row>
    <row r="62" spans="1:24" x14ac:dyDescent="0.35">
      <c r="A62" s="2" t="s">
        <v>37</v>
      </c>
      <c r="B62" s="2" t="s">
        <v>46</v>
      </c>
      <c r="C62" s="2" t="s">
        <v>66</v>
      </c>
      <c r="D62" s="2" t="s">
        <v>67</v>
      </c>
      <c r="E62" s="3">
        <v>262144</v>
      </c>
      <c r="F62" s="2">
        <v>1</v>
      </c>
      <c r="G62" s="2">
        <v>6</v>
      </c>
      <c r="H62" s="2">
        <v>512</v>
      </c>
      <c r="I62" s="2">
        <v>512</v>
      </c>
      <c r="J62" s="2">
        <v>16</v>
      </c>
      <c r="K62" s="2">
        <v>480</v>
      </c>
      <c r="L62" s="3">
        <v>4370</v>
      </c>
      <c r="M62" s="2">
        <v>1.6601999999999999</v>
      </c>
      <c r="N62" s="2">
        <v>1.6</v>
      </c>
      <c r="O62" s="2">
        <v>0.96379999999999999</v>
      </c>
      <c r="P62" s="2">
        <v>315.8</v>
      </c>
      <c r="Q62" s="2">
        <v>74.02</v>
      </c>
      <c r="R62" s="2">
        <v>101.77</v>
      </c>
      <c r="S62" s="2">
        <v>4.2619999999999996</v>
      </c>
      <c r="T62" s="2">
        <v>0.2346</v>
      </c>
      <c r="W62" s="2">
        <v>0.495</v>
      </c>
      <c r="X62" s="2" t="s">
        <v>195</v>
      </c>
    </row>
    <row r="63" spans="1:24" x14ac:dyDescent="0.35">
      <c r="A63" s="2" t="s">
        <v>37</v>
      </c>
      <c r="B63" s="2" t="s">
        <v>46</v>
      </c>
      <c r="C63" s="2" t="s">
        <v>68</v>
      </c>
      <c r="D63" s="2" t="s">
        <v>69</v>
      </c>
      <c r="E63" s="3">
        <v>589824</v>
      </c>
      <c r="F63" s="2">
        <v>2</v>
      </c>
      <c r="G63" s="2">
        <v>6</v>
      </c>
      <c r="H63" s="2">
        <v>768</v>
      </c>
      <c r="I63" s="2">
        <v>768</v>
      </c>
      <c r="J63" s="2">
        <v>24</v>
      </c>
      <c r="K63" s="3">
        <v>1080</v>
      </c>
      <c r="L63" s="3">
        <v>1942</v>
      </c>
      <c r="M63" s="2">
        <v>3.7231000000000001</v>
      </c>
      <c r="N63" s="2">
        <v>3.6</v>
      </c>
      <c r="O63" s="2">
        <v>0.96689999999999998</v>
      </c>
      <c r="P63" s="2">
        <v>316.83999999999997</v>
      </c>
      <c r="Q63" s="2">
        <v>74.260000000000005</v>
      </c>
      <c r="R63" s="2">
        <v>102.11</v>
      </c>
      <c r="S63" s="2">
        <v>4.3071999999999999</v>
      </c>
      <c r="T63" s="2">
        <v>0.23219999999999999</v>
      </c>
      <c r="W63" s="2">
        <v>0.151</v>
      </c>
      <c r="X63" s="2" t="s">
        <v>195</v>
      </c>
    </row>
    <row r="64" spans="1:24" x14ac:dyDescent="0.35">
      <c r="A64" s="2" t="s">
        <v>37</v>
      </c>
      <c r="B64" s="2" t="s">
        <v>46</v>
      </c>
      <c r="C64" s="2" t="s">
        <v>70</v>
      </c>
      <c r="D64" s="2" t="s">
        <v>71</v>
      </c>
      <c r="E64" s="3">
        <v>1048576</v>
      </c>
      <c r="F64" s="2">
        <v>3</v>
      </c>
      <c r="G64" s="2">
        <v>6</v>
      </c>
      <c r="H64" s="3">
        <v>1024</v>
      </c>
      <c r="I64" s="3">
        <v>1024</v>
      </c>
      <c r="J64" s="2">
        <v>32</v>
      </c>
      <c r="K64" s="3">
        <v>1920</v>
      </c>
      <c r="L64" s="3">
        <v>1093</v>
      </c>
      <c r="M64" s="2">
        <v>6.4935</v>
      </c>
      <c r="N64" s="2">
        <v>6.4</v>
      </c>
      <c r="O64" s="2">
        <v>0.98560000000000003</v>
      </c>
      <c r="P64" s="2">
        <v>322.95999999999998</v>
      </c>
      <c r="Q64" s="2">
        <v>75.69</v>
      </c>
      <c r="R64" s="2">
        <v>104.08</v>
      </c>
      <c r="S64" s="2">
        <v>4.2789000000000001</v>
      </c>
      <c r="T64" s="2">
        <v>0.23369999999999999</v>
      </c>
      <c r="W64" s="2">
        <v>2.8570000000000002</v>
      </c>
      <c r="X64" s="2" t="s">
        <v>195</v>
      </c>
    </row>
    <row r="65" spans="1:24" x14ac:dyDescent="0.35">
      <c r="A65" s="2" t="s">
        <v>37</v>
      </c>
      <c r="B65" s="2" t="s">
        <v>46</v>
      </c>
      <c r="C65" s="2" t="s">
        <v>72</v>
      </c>
      <c r="D65" s="2" t="s">
        <v>73</v>
      </c>
      <c r="E65" s="3">
        <v>2359296</v>
      </c>
      <c r="F65" s="2">
        <v>4</v>
      </c>
      <c r="G65" s="2">
        <v>6</v>
      </c>
      <c r="H65" s="3">
        <v>3072</v>
      </c>
      <c r="I65" s="2">
        <v>768</v>
      </c>
      <c r="J65" s="2">
        <v>24</v>
      </c>
      <c r="K65" s="3">
        <v>4320</v>
      </c>
      <c r="L65" s="2">
        <v>486</v>
      </c>
      <c r="M65" s="2">
        <v>14.7399</v>
      </c>
      <c r="N65" s="2">
        <v>14.4</v>
      </c>
      <c r="O65" s="2">
        <v>0.97689999999999999</v>
      </c>
      <c r="P65" s="2">
        <v>320.12</v>
      </c>
      <c r="Q65" s="2">
        <v>75.03</v>
      </c>
      <c r="R65" s="2">
        <v>103.17</v>
      </c>
      <c r="S65" s="2">
        <v>4.2957000000000001</v>
      </c>
      <c r="T65" s="2">
        <v>0.23280000000000001</v>
      </c>
      <c r="W65" s="2">
        <v>2.63</v>
      </c>
      <c r="X65" s="2" t="s">
        <v>195</v>
      </c>
    </row>
    <row r="66" spans="1:24" x14ac:dyDescent="0.35">
      <c r="A66" s="2" t="s">
        <v>37</v>
      </c>
      <c r="B66" s="2" t="s">
        <v>46</v>
      </c>
      <c r="C66" s="2" t="s">
        <v>74</v>
      </c>
      <c r="D66" s="2" t="s">
        <v>75</v>
      </c>
      <c r="E66" s="3">
        <v>2359296</v>
      </c>
      <c r="F66" s="2">
        <v>5</v>
      </c>
      <c r="G66" s="2">
        <v>6</v>
      </c>
      <c r="H66" s="2">
        <v>768</v>
      </c>
      <c r="I66" s="3">
        <v>3072</v>
      </c>
      <c r="J66" s="2">
        <v>96</v>
      </c>
      <c r="K66" s="3">
        <v>4320</v>
      </c>
      <c r="L66" s="2">
        <v>486</v>
      </c>
      <c r="M66" s="2">
        <v>14.71</v>
      </c>
      <c r="N66" s="2">
        <v>14.4</v>
      </c>
      <c r="O66" s="2">
        <v>0.97889999999999999</v>
      </c>
      <c r="P66" s="2">
        <v>320.77</v>
      </c>
      <c r="Q66" s="2">
        <v>75.180000000000007</v>
      </c>
      <c r="R66" s="2">
        <v>103.37</v>
      </c>
      <c r="S66" s="2">
        <v>4.3380999999999998</v>
      </c>
      <c r="T66" s="2">
        <v>0.23050000000000001</v>
      </c>
      <c r="W66" s="2">
        <v>0.74299999999999999</v>
      </c>
      <c r="X66" s="2" t="s">
        <v>195</v>
      </c>
    </row>
    <row r="67" spans="1:24" x14ac:dyDescent="0.35">
      <c r="A67" s="2" t="s">
        <v>37</v>
      </c>
      <c r="B67" s="2" t="s">
        <v>46</v>
      </c>
      <c r="C67" s="2" t="s">
        <v>76</v>
      </c>
      <c r="D67" s="2" t="s">
        <v>77</v>
      </c>
      <c r="E67" s="3">
        <v>4194304</v>
      </c>
      <c r="F67" s="2">
        <v>6</v>
      </c>
      <c r="G67" s="2">
        <v>6</v>
      </c>
      <c r="H67" s="3">
        <v>4096</v>
      </c>
      <c r="I67" s="3">
        <v>1024</v>
      </c>
      <c r="J67" s="2">
        <v>32</v>
      </c>
      <c r="K67" s="3">
        <v>7680</v>
      </c>
      <c r="L67" s="2">
        <v>274</v>
      </c>
      <c r="M67" s="2">
        <v>26.3139</v>
      </c>
      <c r="N67" s="2">
        <v>25.6</v>
      </c>
      <c r="O67" s="2">
        <v>0.97289999999999999</v>
      </c>
      <c r="P67" s="2">
        <v>318.79000000000002</v>
      </c>
      <c r="Q67" s="2">
        <v>74.72</v>
      </c>
      <c r="R67" s="2">
        <v>102.74</v>
      </c>
      <c r="S67" s="2">
        <v>4.3169000000000004</v>
      </c>
      <c r="T67" s="2">
        <v>0.2316</v>
      </c>
      <c r="W67" s="2">
        <v>2.2480000000000002</v>
      </c>
      <c r="X67" s="2" t="s">
        <v>195</v>
      </c>
    </row>
    <row r="68" spans="1:24" x14ac:dyDescent="0.35">
      <c r="A68" s="2" t="s">
        <v>37</v>
      </c>
      <c r="B68" s="2" t="s">
        <v>46</v>
      </c>
      <c r="C68" s="2" t="s">
        <v>78</v>
      </c>
      <c r="D68" s="2" t="s">
        <v>79</v>
      </c>
      <c r="E68" s="3">
        <v>4194304</v>
      </c>
      <c r="F68" s="2">
        <v>7</v>
      </c>
      <c r="G68" s="2">
        <v>6</v>
      </c>
      <c r="H68" s="3">
        <v>1024</v>
      </c>
      <c r="I68" s="3">
        <v>4096</v>
      </c>
      <c r="J68" s="2">
        <v>128</v>
      </c>
      <c r="K68" s="3">
        <v>7680</v>
      </c>
      <c r="L68" s="2">
        <v>274</v>
      </c>
      <c r="M68" s="2">
        <v>26.0928</v>
      </c>
      <c r="N68" s="2">
        <v>25.6</v>
      </c>
      <c r="O68" s="2">
        <v>0.98109999999999997</v>
      </c>
      <c r="P68" s="2">
        <v>321.49</v>
      </c>
      <c r="Q68" s="2">
        <v>75.349999999999994</v>
      </c>
      <c r="R68" s="2">
        <v>103.61</v>
      </c>
      <c r="S68" s="2">
        <v>4.3329000000000004</v>
      </c>
      <c r="T68" s="2">
        <v>0.23080000000000001</v>
      </c>
      <c r="W68" s="2">
        <v>0.61499999999999999</v>
      </c>
      <c r="X68" s="2" t="s">
        <v>195</v>
      </c>
    </row>
    <row r="69" spans="1:24" x14ac:dyDescent="0.35">
      <c r="A69" s="2" t="s">
        <v>37</v>
      </c>
      <c r="B69" s="2" t="s">
        <v>46</v>
      </c>
      <c r="C69" s="2" t="s">
        <v>80</v>
      </c>
      <c r="D69" s="2" t="s">
        <v>81</v>
      </c>
      <c r="E69" s="3">
        <v>4194304</v>
      </c>
      <c r="F69" s="2">
        <v>8</v>
      </c>
      <c r="G69" s="2">
        <v>6</v>
      </c>
      <c r="H69" s="3">
        <v>2048</v>
      </c>
      <c r="I69" s="3">
        <v>2048</v>
      </c>
      <c r="J69" s="2">
        <v>64</v>
      </c>
      <c r="K69" s="3">
        <v>7680</v>
      </c>
      <c r="L69" s="2">
        <v>274</v>
      </c>
      <c r="M69" s="2">
        <v>26.226600000000001</v>
      </c>
      <c r="N69" s="2">
        <v>25.6</v>
      </c>
      <c r="O69" s="2">
        <v>0.97609999999999997</v>
      </c>
      <c r="P69" s="2">
        <v>319.85000000000002</v>
      </c>
      <c r="Q69" s="2">
        <v>74.97</v>
      </c>
      <c r="R69" s="2">
        <v>103.08</v>
      </c>
      <c r="S69" s="2">
        <v>4.2960000000000003</v>
      </c>
      <c r="T69" s="2">
        <v>0.23280000000000001</v>
      </c>
      <c r="W69" s="2">
        <v>0.219</v>
      </c>
      <c r="X69" s="2" t="s">
        <v>195</v>
      </c>
    </row>
    <row r="70" spans="1:24" x14ac:dyDescent="0.35">
      <c r="A70" s="2" t="s">
        <v>37</v>
      </c>
      <c r="B70" s="2" t="s">
        <v>46</v>
      </c>
      <c r="C70" s="2" t="s">
        <v>82</v>
      </c>
      <c r="D70" s="2" t="s">
        <v>83</v>
      </c>
      <c r="E70" s="3">
        <v>16777216</v>
      </c>
      <c r="F70" s="2">
        <v>9</v>
      </c>
      <c r="G70" s="2">
        <v>6</v>
      </c>
      <c r="H70" s="3">
        <v>4096</v>
      </c>
      <c r="I70" s="3">
        <v>4096</v>
      </c>
      <c r="J70" s="2">
        <v>128</v>
      </c>
      <c r="K70" s="3">
        <v>30720</v>
      </c>
      <c r="L70" s="2">
        <v>69</v>
      </c>
      <c r="M70" s="2">
        <v>104.3351</v>
      </c>
      <c r="N70" s="2">
        <v>102.4</v>
      </c>
      <c r="O70" s="2">
        <v>0.98150000000000004</v>
      </c>
      <c r="P70" s="2">
        <v>321.60000000000002</v>
      </c>
      <c r="Q70" s="2">
        <v>75.38</v>
      </c>
      <c r="R70" s="2">
        <v>103.64</v>
      </c>
      <c r="S70" s="2">
        <v>4.3361999999999998</v>
      </c>
      <c r="T70" s="2">
        <v>0.2306</v>
      </c>
      <c r="W70" s="2">
        <v>0.80300000000000005</v>
      </c>
      <c r="X70" s="2" t="s">
        <v>195</v>
      </c>
    </row>
    <row r="71" spans="1:24" x14ac:dyDescent="0.35">
      <c r="A71" s="2" t="s">
        <v>37</v>
      </c>
      <c r="B71" s="2" t="s">
        <v>46</v>
      </c>
      <c r="C71" s="2" t="s">
        <v>84</v>
      </c>
      <c r="D71" s="2" t="s">
        <v>85</v>
      </c>
      <c r="E71" s="3">
        <v>16777216</v>
      </c>
      <c r="F71" s="2">
        <v>10</v>
      </c>
      <c r="G71" s="2">
        <v>6</v>
      </c>
      <c r="H71" s="3">
        <v>8192</v>
      </c>
      <c r="I71" s="3">
        <v>2048</v>
      </c>
      <c r="J71" s="2">
        <v>64</v>
      </c>
      <c r="K71" s="3">
        <v>30720</v>
      </c>
      <c r="L71" s="2">
        <v>69</v>
      </c>
      <c r="M71" s="2">
        <v>106.1097</v>
      </c>
      <c r="N71" s="2">
        <v>102.4</v>
      </c>
      <c r="O71" s="2">
        <v>0.96499999999999997</v>
      </c>
      <c r="P71" s="2">
        <v>316.22000000000003</v>
      </c>
      <c r="Q71" s="2">
        <v>74.12</v>
      </c>
      <c r="R71" s="2">
        <v>101.91</v>
      </c>
      <c r="S71" s="2">
        <v>4.2784000000000004</v>
      </c>
      <c r="T71" s="2">
        <v>0.23369999999999999</v>
      </c>
      <c r="W71" s="2">
        <v>2.7989999999999999</v>
      </c>
      <c r="X71" s="2" t="s">
        <v>195</v>
      </c>
    </row>
    <row r="72" spans="1:24" x14ac:dyDescent="0.35">
      <c r="A72" s="2" t="s">
        <v>37</v>
      </c>
      <c r="B72" s="2" t="s">
        <v>46</v>
      </c>
      <c r="C72" s="2" t="s">
        <v>86</v>
      </c>
      <c r="D72" s="2" t="s">
        <v>87</v>
      </c>
      <c r="E72" s="3">
        <v>16777216</v>
      </c>
      <c r="F72" s="2">
        <v>11</v>
      </c>
      <c r="G72" s="2">
        <v>6</v>
      </c>
      <c r="H72" s="3">
        <v>2048</v>
      </c>
      <c r="I72" s="3">
        <v>8192</v>
      </c>
      <c r="J72" s="2">
        <v>256</v>
      </c>
      <c r="K72" s="3">
        <v>30720</v>
      </c>
      <c r="L72" s="2">
        <v>69</v>
      </c>
      <c r="M72" s="2">
        <v>104.3028</v>
      </c>
      <c r="N72" s="2">
        <v>102.4</v>
      </c>
      <c r="O72" s="2">
        <v>0.98180000000000001</v>
      </c>
      <c r="P72" s="2">
        <v>321.7</v>
      </c>
      <c r="Q72" s="2">
        <v>75.400000000000006</v>
      </c>
      <c r="R72" s="2">
        <v>103.67</v>
      </c>
      <c r="S72" s="2">
        <v>4.3593999999999999</v>
      </c>
      <c r="T72" s="2">
        <v>0.22939999999999999</v>
      </c>
      <c r="W72" s="2">
        <v>1.496</v>
      </c>
      <c r="X72" s="2" t="s">
        <v>195</v>
      </c>
    </row>
    <row r="73" spans="1:24" x14ac:dyDescent="0.35">
      <c r="A73" s="2" t="s">
        <v>37</v>
      </c>
      <c r="B73" s="2" t="s">
        <v>46</v>
      </c>
      <c r="C73" s="2" t="s">
        <v>88</v>
      </c>
      <c r="F73" s="2">
        <v>12</v>
      </c>
      <c r="G73" s="2">
        <v>6</v>
      </c>
      <c r="O73" s="2">
        <v>0.97550000000000003</v>
      </c>
      <c r="P73" s="2">
        <v>319.64999999999998</v>
      </c>
      <c r="S73" s="2">
        <v>4.3090999999999999</v>
      </c>
      <c r="T73" s="2">
        <v>0.2321</v>
      </c>
      <c r="X73" s="2" t="s">
        <v>195</v>
      </c>
    </row>
  </sheetData>
  <autoFilter ref="A1:W61" xr:uid="{00000000-0009-0000-0000-000001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1"/>
  <sheetViews>
    <sheetView zoomScale="10" zoomScaleNormal="1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1" customWidth="1"/>
    <col min="3" max="3" width="25" customWidth="1"/>
    <col min="4" max="4" width="16" customWidth="1"/>
    <col min="5" max="5" width="12" customWidth="1"/>
    <col min="6" max="6" width="16" customWidth="1"/>
    <col min="7" max="8" width="10" customWidth="1"/>
    <col min="9" max="9" width="14" customWidth="1"/>
    <col min="10" max="10" width="15" customWidth="1"/>
    <col min="11" max="11" width="16" customWidth="1"/>
    <col min="12" max="12" width="17" customWidth="1"/>
    <col min="13" max="13" width="19" customWidth="1"/>
    <col min="14" max="14" width="24" customWidth="1"/>
    <col min="15" max="15" width="17" customWidth="1"/>
    <col min="16" max="16" width="18" customWidth="1"/>
    <col min="17" max="17" width="15" customWidth="1"/>
    <col min="18" max="18" width="10" customWidth="1"/>
    <col min="19" max="19" width="17" customWidth="1"/>
    <col min="20" max="20" width="11" customWidth="1"/>
    <col min="21" max="21" width="10" customWidth="1"/>
    <col min="22" max="22" width="20" customWidth="1"/>
    <col min="23" max="24" width="14" customWidth="1"/>
    <col min="25" max="25" width="17" customWidth="1"/>
    <col min="26" max="27" width="15" customWidth="1"/>
    <col min="28" max="28" width="18" customWidth="1"/>
    <col min="29" max="29" width="19" customWidth="1"/>
    <col min="30" max="30" width="25" customWidth="1"/>
    <col min="31" max="31" width="26" customWidth="1"/>
    <col min="32" max="32" width="12" customWidth="1"/>
  </cols>
  <sheetData>
    <row r="1" spans="1:3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14</v>
      </c>
      <c r="S1" s="1" t="s">
        <v>90</v>
      </c>
      <c r="T1" s="1" t="s">
        <v>23</v>
      </c>
      <c r="U1" s="1" t="s">
        <v>24</v>
      </c>
      <c r="V1" s="1" t="s">
        <v>25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</row>
    <row r="2" spans="1:32" x14ac:dyDescent="0.35">
      <c r="A2" s="2" t="s">
        <v>34</v>
      </c>
      <c r="B2" s="2">
        <v>300</v>
      </c>
      <c r="C2" s="2" t="s">
        <v>34</v>
      </c>
      <c r="D2" s="2">
        <v>1</v>
      </c>
      <c r="F2" s="2" t="s">
        <v>101</v>
      </c>
      <c r="G2" s="3">
        <v>262144</v>
      </c>
      <c r="H2" s="3">
        <v>1024</v>
      </c>
      <c r="I2" s="3">
        <v>2097152</v>
      </c>
      <c r="J2" s="2">
        <v>8</v>
      </c>
      <c r="K2" s="2">
        <v>7621.5</v>
      </c>
      <c r="L2" s="2">
        <v>7559.1</v>
      </c>
      <c r="M2" s="2">
        <v>70.44</v>
      </c>
      <c r="N2" s="2">
        <v>76.8</v>
      </c>
      <c r="O2" s="2">
        <v>91.7</v>
      </c>
      <c r="P2" s="2">
        <v>70.400000000000006</v>
      </c>
      <c r="Q2" s="2">
        <v>70.400000000000006</v>
      </c>
      <c r="R2" s="2">
        <v>36.988</v>
      </c>
      <c r="S2" s="2">
        <v>0.98629999999999995</v>
      </c>
      <c r="T2" s="2">
        <v>8</v>
      </c>
      <c r="U2" s="2">
        <v>512</v>
      </c>
      <c r="V2" s="2">
        <v>0.1376</v>
      </c>
    </row>
    <row r="3" spans="1:32" x14ac:dyDescent="0.35">
      <c r="A3" s="2" t="s">
        <v>37</v>
      </c>
      <c r="B3" s="2">
        <v>300</v>
      </c>
      <c r="C3" s="2" t="s">
        <v>38</v>
      </c>
      <c r="D3" s="2">
        <v>2</v>
      </c>
      <c r="E3" s="2">
        <v>4</v>
      </c>
      <c r="F3" s="2" t="s">
        <v>101</v>
      </c>
      <c r="G3" s="3">
        <v>524288</v>
      </c>
      <c r="H3" s="3">
        <v>1024</v>
      </c>
      <c r="I3" s="3">
        <v>2097152</v>
      </c>
      <c r="J3" s="2">
        <v>4</v>
      </c>
      <c r="K3" s="2">
        <v>7839.7</v>
      </c>
      <c r="L3" s="2">
        <v>7774.5</v>
      </c>
      <c r="M3" s="2">
        <v>94.16</v>
      </c>
      <c r="N3" s="2">
        <v>105.6</v>
      </c>
      <c r="O3" s="2">
        <v>89.2</v>
      </c>
      <c r="P3" s="2">
        <v>137</v>
      </c>
      <c r="Q3" s="2">
        <v>68.5</v>
      </c>
      <c r="R3" s="2">
        <v>73.400000000000006</v>
      </c>
      <c r="S3" s="2">
        <v>0.97870000000000001</v>
      </c>
      <c r="T3" s="2">
        <v>11</v>
      </c>
      <c r="U3" s="2">
        <v>512</v>
      </c>
      <c r="V3" s="2">
        <v>0.26750000000000002</v>
      </c>
    </row>
    <row r="4" spans="1:32" x14ac:dyDescent="0.35">
      <c r="A4" s="2" t="s">
        <v>37</v>
      </c>
      <c r="B4" s="2">
        <v>300</v>
      </c>
      <c r="C4" s="2" t="s">
        <v>40</v>
      </c>
      <c r="D4" s="2">
        <v>3</v>
      </c>
      <c r="E4" s="2">
        <v>8</v>
      </c>
      <c r="F4" s="2" t="s">
        <v>101</v>
      </c>
      <c r="G4" s="3">
        <v>1048576</v>
      </c>
      <c r="H4" s="3">
        <v>1024</v>
      </c>
      <c r="I4" s="3">
        <v>2097152</v>
      </c>
      <c r="J4" s="2">
        <v>2</v>
      </c>
      <c r="K4" s="2">
        <v>7871.6</v>
      </c>
      <c r="L4" s="2">
        <v>7693.2</v>
      </c>
      <c r="M4" s="2">
        <v>93.78</v>
      </c>
      <c r="N4" s="2">
        <v>105.6</v>
      </c>
      <c r="O4" s="2">
        <v>88.8</v>
      </c>
      <c r="P4" s="2">
        <v>272.8</v>
      </c>
      <c r="Q4" s="2">
        <v>68.2</v>
      </c>
      <c r="R4" s="2">
        <v>146.43700000000001</v>
      </c>
      <c r="S4" s="2">
        <v>0.97619999999999996</v>
      </c>
      <c r="T4" s="2">
        <v>11</v>
      </c>
      <c r="U4" s="2">
        <v>512</v>
      </c>
      <c r="V4" s="2">
        <v>0.53280000000000005</v>
      </c>
    </row>
    <row r="5" spans="1:32" x14ac:dyDescent="0.35">
      <c r="A5" s="2" t="s">
        <v>37</v>
      </c>
      <c r="B5" s="2">
        <v>300</v>
      </c>
      <c r="C5" s="2" t="s">
        <v>42</v>
      </c>
      <c r="D5" s="2">
        <v>4</v>
      </c>
      <c r="E5" s="2">
        <v>16</v>
      </c>
      <c r="F5" s="2" t="s">
        <v>101</v>
      </c>
      <c r="G5" s="3">
        <v>2097152</v>
      </c>
      <c r="H5" s="3">
        <v>1024</v>
      </c>
      <c r="I5" s="3">
        <v>2097152</v>
      </c>
      <c r="J5" s="2">
        <v>1</v>
      </c>
      <c r="K5" s="3">
        <v>7923</v>
      </c>
      <c r="L5" s="2">
        <v>7777.4</v>
      </c>
      <c r="M5" s="2">
        <v>93.17</v>
      </c>
      <c r="N5" s="2">
        <v>105.6</v>
      </c>
      <c r="O5" s="2">
        <v>88.2</v>
      </c>
      <c r="P5" s="2">
        <v>542.1</v>
      </c>
      <c r="Q5" s="2">
        <v>67.8</v>
      </c>
      <c r="R5" s="2">
        <v>290.72899999999998</v>
      </c>
      <c r="S5" s="2">
        <v>0.96909999999999996</v>
      </c>
      <c r="T5" s="2">
        <v>11</v>
      </c>
      <c r="U5" s="2">
        <v>512</v>
      </c>
      <c r="V5" s="2">
        <v>1.0588</v>
      </c>
    </row>
    <row r="6" spans="1:32" x14ac:dyDescent="0.35">
      <c r="A6" s="2" t="s">
        <v>37</v>
      </c>
      <c r="B6" s="2">
        <v>300</v>
      </c>
      <c r="C6" s="2" t="s">
        <v>44</v>
      </c>
      <c r="D6" s="2">
        <v>5</v>
      </c>
      <c r="E6" s="2">
        <v>32</v>
      </c>
      <c r="F6" s="2" t="s">
        <v>101</v>
      </c>
      <c r="G6" s="3">
        <v>4194304</v>
      </c>
      <c r="H6" s="3">
        <v>1024</v>
      </c>
      <c r="I6" s="3">
        <v>2097152</v>
      </c>
      <c r="J6" s="2">
        <v>0.5</v>
      </c>
      <c r="K6" s="2">
        <v>8047.5</v>
      </c>
      <c r="L6" s="2">
        <v>7905.6</v>
      </c>
      <c r="M6" s="2">
        <v>91.73</v>
      </c>
      <c r="N6" s="2">
        <v>105.6</v>
      </c>
      <c r="O6" s="2">
        <v>86.9</v>
      </c>
      <c r="P6" s="2">
        <v>1067.4000000000001</v>
      </c>
      <c r="Q6" s="2">
        <v>66.7</v>
      </c>
      <c r="R6" s="2">
        <v>578.16200000000003</v>
      </c>
      <c r="S6" s="2">
        <v>0.96360000000000001</v>
      </c>
      <c r="T6" s="2">
        <v>11</v>
      </c>
      <c r="U6" s="2">
        <v>512</v>
      </c>
      <c r="V6" s="2">
        <v>2.0848</v>
      </c>
    </row>
    <row r="7" spans="1:32" x14ac:dyDescent="0.35">
      <c r="A7" s="2" t="s">
        <v>37</v>
      </c>
      <c r="B7" s="2">
        <v>225</v>
      </c>
      <c r="C7" s="2" t="s">
        <v>38</v>
      </c>
      <c r="D7" s="2">
        <v>2</v>
      </c>
      <c r="E7" s="2">
        <v>4</v>
      </c>
      <c r="F7" s="2" t="s">
        <v>101</v>
      </c>
      <c r="G7" s="3">
        <v>524288</v>
      </c>
      <c r="H7" s="3">
        <v>1024</v>
      </c>
      <c r="I7" s="3">
        <v>2097152</v>
      </c>
      <c r="J7" s="2">
        <v>4</v>
      </c>
      <c r="K7" s="2">
        <v>10139.799999999999</v>
      </c>
      <c r="L7" s="2">
        <v>9977.4</v>
      </c>
      <c r="M7" s="2">
        <v>72.8</v>
      </c>
      <c r="N7" s="2">
        <v>79.2</v>
      </c>
      <c r="O7" s="2">
        <v>91.9</v>
      </c>
      <c r="P7" s="2">
        <v>105.9</v>
      </c>
      <c r="Q7" s="2">
        <v>52.9</v>
      </c>
      <c r="R7" s="2">
        <v>56.033000000000001</v>
      </c>
      <c r="S7" s="2">
        <v>0.99609999999999999</v>
      </c>
      <c r="T7" s="2">
        <v>11</v>
      </c>
      <c r="U7" s="2">
        <v>512</v>
      </c>
      <c r="V7" s="2">
        <v>0.20680000000000001</v>
      </c>
    </row>
    <row r="8" spans="1:32" x14ac:dyDescent="0.35">
      <c r="A8" s="2" t="s">
        <v>37</v>
      </c>
      <c r="B8" s="2">
        <v>225</v>
      </c>
      <c r="C8" s="2" t="s">
        <v>40</v>
      </c>
      <c r="D8" s="2">
        <v>3</v>
      </c>
      <c r="E8" s="2">
        <v>8</v>
      </c>
      <c r="F8" s="2" t="s">
        <v>101</v>
      </c>
      <c r="G8" s="3">
        <v>1048576</v>
      </c>
      <c r="H8" s="3">
        <v>1024</v>
      </c>
      <c r="I8" s="3">
        <v>2097152</v>
      </c>
      <c r="J8" s="2">
        <v>2</v>
      </c>
      <c r="K8" s="2">
        <v>10281.799999999999</v>
      </c>
      <c r="L8" s="2">
        <v>10101.200000000001</v>
      </c>
      <c r="M8" s="2">
        <v>71.8</v>
      </c>
      <c r="N8" s="2">
        <v>79.2</v>
      </c>
      <c r="O8" s="2">
        <v>90.7</v>
      </c>
      <c r="P8" s="2">
        <v>208.9</v>
      </c>
      <c r="Q8" s="2">
        <v>52.2</v>
      </c>
      <c r="R8" s="2">
        <v>109.874</v>
      </c>
      <c r="S8" s="2">
        <v>0.97670000000000001</v>
      </c>
      <c r="T8" s="2">
        <v>11</v>
      </c>
      <c r="U8" s="2">
        <v>512</v>
      </c>
      <c r="V8" s="2">
        <v>0.40789999999999998</v>
      </c>
    </row>
    <row r="9" spans="1:32" x14ac:dyDescent="0.35">
      <c r="A9" s="2" t="s">
        <v>37</v>
      </c>
      <c r="B9" s="2">
        <v>225</v>
      </c>
      <c r="C9" s="2" t="s">
        <v>42</v>
      </c>
      <c r="D9" s="2">
        <v>4</v>
      </c>
      <c r="E9" s="2">
        <v>16</v>
      </c>
      <c r="F9" s="2" t="s">
        <v>101</v>
      </c>
      <c r="G9" s="3">
        <v>2097152</v>
      </c>
      <c r="H9" s="3">
        <v>1024</v>
      </c>
      <c r="I9" s="3">
        <v>2097152</v>
      </c>
      <c r="J9" s="2">
        <v>1</v>
      </c>
      <c r="K9" s="2">
        <v>10287.700000000001</v>
      </c>
      <c r="L9" s="2">
        <v>10099.299999999999</v>
      </c>
      <c r="M9" s="2">
        <v>71.760000000000005</v>
      </c>
      <c r="N9" s="2">
        <v>79.2</v>
      </c>
      <c r="O9" s="2">
        <v>90.6</v>
      </c>
      <c r="P9" s="2">
        <v>417.5</v>
      </c>
      <c r="Q9" s="2">
        <v>52.2</v>
      </c>
      <c r="R9" s="2">
        <v>220.34700000000001</v>
      </c>
      <c r="S9" s="2">
        <v>0.97929999999999995</v>
      </c>
      <c r="T9" s="2">
        <v>11</v>
      </c>
      <c r="U9" s="2">
        <v>512</v>
      </c>
      <c r="V9" s="2">
        <v>0.81540000000000001</v>
      </c>
    </row>
    <row r="10" spans="1:32" x14ac:dyDescent="0.35">
      <c r="A10" s="2" t="s">
        <v>37</v>
      </c>
      <c r="B10" s="2">
        <v>225</v>
      </c>
      <c r="C10" s="2" t="s">
        <v>44</v>
      </c>
      <c r="D10" s="2">
        <v>5</v>
      </c>
      <c r="E10" s="2">
        <v>32</v>
      </c>
      <c r="F10" s="2" t="s">
        <v>101</v>
      </c>
      <c r="G10" s="3">
        <v>4194304</v>
      </c>
      <c r="H10" s="3">
        <v>1024</v>
      </c>
      <c r="I10" s="3">
        <v>2097152</v>
      </c>
      <c r="J10" s="2">
        <v>0.5</v>
      </c>
      <c r="K10" s="2">
        <v>10403.4</v>
      </c>
      <c r="L10" s="2">
        <v>10231.299999999999</v>
      </c>
      <c r="M10" s="2">
        <v>70.959999999999994</v>
      </c>
      <c r="N10" s="2">
        <v>79.2</v>
      </c>
      <c r="O10" s="2">
        <v>89.6</v>
      </c>
      <c r="P10" s="2">
        <v>825.7</v>
      </c>
      <c r="Q10" s="2">
        <v>51.6</v>
      </c>
      <c r="R10" s="2">
        <v>431.13200000000001</v>
      </c>
      <c r="S10" s="2">
        <v>0.95809999999999995</v>
      </c>
      <c r="T10" s="2">
        <v>11</v>
      </c>
      <c r="U10" s="2">
        <v>512</v>
      </c>
      <c r="V10" s="2">
        <v>1.6127</v>
      </c>
    </row>
    <row r="11" spans="1:32" x14ac:dyDescent="0.35">
      <c r="A11" s="2" t="s">
        <v>34</v>
      </c>
      <c r="B11" s="2">
        <v>300</v>
      </c>
      <c r="C11" s="2" t="s">
        <v>34</v>
      </c>
      <c r="D11" s="2">
        <v>1</v>
      </c>
      <c r="F11" s="2" t="s">
        <v>102</v>
      </c>
      <c r="H11" s="3">
        <v>1024</v>
      </c>
      <c r="I11" s="3">
        <v>2097152</v>
      </c>
      <c r="J11" s="2">
        <v>8</v>
      </c>
      <c r="P11" s="2">
        <v>72.2</v>
      </c>
      <c r="Q11" s="2">
        <v>72.2</v>
      </c>
      <c r="R11" s="2">
        <v>35.265000000000001</v>
      </c>
      <c r="T11" s="2">
        <v>8</v>
      </c>
      <c r="U11" s="2">
        <v>512</v>
      </c>
      <c r="V11" s="2">
        <v>0.1411</v>
      </c>
      <c r="W11" s="2">
        <v>31.297000000000001</v>
      </c>
      <c r="X11" s="2">
        <v>26.923999999999999</v>
      </c>
      <c r="Y11" s="2">
        <v>4.3730000000000002</v>
      </c>
      <c r="Z11" s="2">
        <v>7.7309999999999999</v>
      </c>
      <c r="AA11" s="2">
        <v>6.657</v>
      </c>
      <c r="AB11" s="2">
        <v>1.0740000000000001</v>
      </c>
      <c r="AC11" s="2">
        <v>3.1389999999999998</v>
      </c>
      <c r="AD11" s="2">
        <v>887.5</v>
      </c>
      <c r="AE11" s="2">
        <v>219.2</v>
      </c>
      <c r="AF11" s="2">
        <v>1.1539999999999999</v>
      </c>
    </row>
    <row r="12" spans="1:32" x14ac:dyDescent="0.35">
      <c r="A12" s="2" t="s">
        <v>34</v>
      </c>
      <c r="B12" s="2">
        <v>325</v>
      </c>
      <c r="C12" s="2" t="s">
        <v>34</v>
      </c>
      <c r="D12" s="2">
        <v>1</v>
      </c>
      <c r="F12" s="2" t="s">
        <v>102</v>
      </c>
      <c r="H12" s="3">
        <v>1024</v>
      </c>
      <c r="I12" s="3">
        <v>2097152</v>
      </c>
      <c r="J12" s="2">
        <v>8</v>
      </c>
      <c r="P12" s="2">
        <v>78</v>
      </c>
      <c r="Q12" s="2">
        <v>78</v>
      </c>
      <c r="R12" s="2">
        <v>38.094000000000001</v>
      </c>
      <c r="T12" s="2">
        <v>8</v>
      </c>
      <c r="U12" s="2">
        <v>512</v>
      </c>
      <c r="V12" s="2">
        <v>0.15240000000000001</v>
      </c>
      <c r="W12" s="2">
        <v>31.724</v>
      </c>
      <c r="X12" s="2">
        <v>27.077000000000002</v>
      </c>
      <c r="Y12" s="2">
        <v>4.6470000000000002</v>
      </c>
      <c r="Z12" s="2">
        <v>7.8090000000000002</v>
      </c>
      <c r="AA12" s="2">
        <v>6.7640000000000002</v>
      </c>
      <c r="AB12" s="2">
        <v>1.0449999999999999</v>
      </c>
      <c r="AC12" s="2">
        <v>3.4460000000000002</v>
      </c>
      <c r="AD12" s="2">
        <v>832.8</v>
      </c>
      <c r="AE12" s="2">
        <v>205</v>
      </c>
      <c r="AF12" s="2">
        <v>1.23</v>
      </c>
    </row>
    <row r="13" spans="1:32" x14ac:dyDescent="0.35">
      <c r="A13" s="2" t="s">
        <v>37</v>
      </c>
      <c r="B13" s="2">
        <v>300</v>
      </c>
      <c r="C13" s="2" t="s">
        <v>38</v>
      </c>
      <c r="D13" s="2">
        <v>2</v>
      </c>
      <c r="E13" s="2">
        <v>4</v>
      </c>
      <c r="F13" s="2" t="s">
        <v>102</v>
      </c>
      <c r="H13" s="3">
        <v>1024</v>
      </c>
      <c r="I13" s="3">
        <v>2097152</v>
      </c>
      <c r="J13" s="2">
        <v>4</v>
      </c>
      <c r="P13" s="2">
        <v>142.9</v>
      </c>
      <c r="Q13" s="2">
        <v>71.400000000000006</v>
      </c>
      <c r="R13" s="2">
        <v>69.771000000000001</v>
      </c>
      <c r="T13" s="2">
        <v>11</v>
      </c>
      <c r="U13" s="2">
        <v>512</v>
      </c>
      <c r="V13" s="2">
        <v>0.27910000000000001</v>
      </c>
      <c r="W13" s="2">
        <v>35.442</v>
      </c>
      <c r="X13" s="2">
        <v>30.138000000000002</v>
      </c>
      <c r="Y13" s="2">
        <v>5.3040000000000003</v>
      </c>
      <c r="Z13" s="2">
        <v>7.7560000000000002</v>
      </c>
      <c r="AA13" s="2">
        <v>7.0949999999999998</v>
      </c>
      <c r="AB13" s="2">
        <v>0.66100000000000003</v>
      </c>
      <c r="AC13" s="2">
        <v>4.5439999999999996</v>
      </c>
      <c r="AD13" s="2">
        <v>508</v>
      </c>
      <c r="AE13" s="2">
        <v>111.2</v>
      </c>
      <c r="AF13" s="2">
        <v>2.016</v>
      </c>
    </row>
    <row r="14" spans="1:32" x14ac:dyDescent="0.35">
      <c r="A14" s="2" t="s">
        <v>37</v>
      </c>
      <c r="B14" s="2">
        <v>325</v>
      </c>
      <c r="C14" s="2" t="s">
        <v>38</v>
      </c>
      <c r="D14" s="2">
        <v>2</v>
      </c>
      <c r="E14" s="2">
        <v>4</v>
      </c>
      <c r="F14" s="2" t="s">
        <v>102</v>
      </c>
      <c r="H14" s="3">
        <v>1024</v>
      </c>
      <c r="I14" s="3">
        <v>2097152</v>
      </c>
      <c r="J14" s="2">
        <v>4</v>
      </c>
      <c r="P14" s="2">
        <v>155.5</v>
      </c>
      <c r="Q14" s="2">
        <v>77.7</v>
      </c>
      <c r="R14" s="2">
        <v>75.918999999999997</v>
      </c>
      <c r="T14" s="2">
        <v>11</v>
      </c>
      <c r="U14" s="2">
        <v>512</v>
      </c>
      <c r="V14" s="2">
        <v>0.30370000000000003</v>
      </c>
      <c r="W14" s="2">
        <v>35.994</v>
      </c>
      <c r="X14" s="2">
        <v>30.164999999999999</v>
      </c>
      <c r="Y14" s="2">
        <v>5.8289999999999997</v>
      </c>
      <c r="Z14" s="2">
        <v>7.9109999999999996</v>
      </c>
      <c r="AA14" s="2">
        <v>7.1260000000000003</v>
      </c>
      <c r="AB14" s="2">
        <v>0.78500000000000003</v>
      </c>
      <c r="AC14" s="2">
        <v>4.9269999999999996</v>
      </c>
      <c r="AD14" s="2">
        <v>474.1</v>
      </c>
      <c r="AE14" s="2">
        <v>104.2</v>
      </c>
      <c r="AF14" s="2">
        <v>2.16</v>
      </c>
    </row>
    <row r="15" spans="1:32" x14ac:dyDescent="0.35">
      <c r="A15" s="2" t="s">
        <v>37</v>
      </c>
      <c r="B15" s="2">
        <v>300</v>
      </c>
      <c r="C15" s="2" t="s">
        <v>40</v>
      </c>
      <c r="D15" s="2">
        <v>3</v>
      </c>
      <c r="E15" s="2">
        <v>8</v>
      </c>
      <c r="F15" s="2" t="s">
        <v>102</v>
      </c>
      <c r="H15" s="3">
        <v>1024</v>
      </c>
      <c r="I15" s="3">
        <v>2097152</v>
      </c>
      <c r="J15" s="2">
        <v>2</v>
      </c>
      <c r="P15" s="2">
        <v>285.2</v>
      </c>
      <c r="Q15" s="2">
        <v>71.3</v>
      </c>
      <c r="R15" s="2">
        <v>139.26599999999999</v>
      </c>
      <c r="T15" s="2">
        <v>11</v>
      </c>
      <c r="U15" s="2">
        <v>512</v>
      </c>
      <c r="V15" s="2">
        <v>0.55710000000000004</v>
      </c>
      <c r="W15" s="2">
        <v>35.326999999999998</v>
      </c>
      <c r="X15" s="2">
        <v>30.114999999999998</v>
      </c>
      <c r="Y15" s="2">
        <v>5.2119999999999997</v>
      </c>
      <c r="Z15" s="2">
        <v>7.8230000000000004</v>
      </c>
      <c r="AA15" s="2">
        <v>7.17</v>
      </c>
      <c r="AB15" s="2">
        <v>0.65300000000000002</v>
      </c>
      <c r="AC15" s="2">
        <v>4.4610000000000003</v>
      </c>
      <c r="AD15" s="2">
        <v>253.7</v>
      </c>
      <c r="AE15" s="2">
        <v>56.2</v>
      </c>
      <c r="AF15" s="2">
        <v>4.0369999999999999</v>
      </c>
    </row>
    <row r="16" spans="1:32" x14ac:dyDescent="0.35">
      <c r="A16" s="2" t="s">
        <v>37</v>
      </c>
      <c r="B16" s="2">
        <v>325</v>
      </c>
      <c r="C16" s="2" t="s">
        <v>40</v>
      </c>
      <c r="D16" s="2">
        <v>3</v>
      </c>
      <c r="E16" s="2">
        <v>8</v>
      </c>
      <c r="F16" s="2" t="s">
        <v>102</v>
      </c>
      <c r="H16" s="3">
        <v>1024</v>
      </c>
      <c r="I16" s="3">
        <v>2097152</v>
      </c>
      <c r="J16" s="2">
        <v>2</v>
      </c>
      <c r="P16" s="2">
        <v>307.7</v>
      </c>
      <c r="Q16" s="2">
        <v>76.900000000000006</v>
      </c>
      <c r="R16" s="2">
        <v>150.23500000000001</v>
      </c>
      <c r="T16" s="2">
        <v>11</v>
      </c>
      <c r="U16" s="2">
        <v>512</v>
      </c>
      <c r="V16" s="2">
        <v>0.60089999999999999</v>
      </c>
      <c r="W16" s="2">
        <v>35.451999999999998</v>
      </c>
      <c r="X16" s="2">
        <v>30.164000000000001</v>
      </c>
      <c r="Y16" s="2">
        <v>5.2880000000000003</v>
      </c>
      <c r="Z16" s="2">
        <v>7.9509999999999996</v>
      </c>
      <c r="AA16" s="2">
        <v>7.1769999999999996</v>
      </c>
      <c r="AB16" s="2">
        <v>0.77400000000000002</v>
      </c>
      <c r="AC16" s="2">
        <v>4.3979999999999997</v>
      </c>
      <c r="AD16" s="2">
        <v>236</v>
      </c>
      <c r="AE16" s="2">
        <v>52.9</v>
      </c>
      <c r="AF16" s="2">
        <v>4.3390000000000004</v>
      </c>
    </row>
    <row r="17" spans="1:32" x14ac:dyDescent="0.35">
      <c r="A17" s="2" t="s">
        <v>37</v>
      </c>
      <c r="B17" s="2">
        <v>300</v>
      </c>
      <c r="C17" s="2" t="s">
        <v>42</v>
      </c>
      <c r="D17" s="2">
        <v>4</v>
      </c>
      <c r="E17" s="2">
        <v>16</v>
      </c>
      <c r="F17" s="2" t="s">
        <v>102</v>
      </c>
      <c r="H17" s="3">
        <v>1024</v>
      </c>
      <c r="I17" s="3">
        <v>2097152</v>
      </c>
      <c r="J17" s="2">
        <v>1</v>
      </c>
      <c r="P17" s="2">
        <v>565</v>
      </c>
      <c r="Q17" s="2">
        <v>70.599999999999994</v>
      </c>
      <c r="R17" s="2">
        <v>275.86399999999998</v>
      </c>
      <c r="T17" s="2">
        <v>11</v>
      </c>
      <c r="U17" s="2">
        <v>512</v>
      </c>
      <c r="V17" s="2">
        <v>1.1034999999999999</v>
      </c>
      <c r="W17" s="2">
        <v>35.412999999999997</v>
      </c>
      <c r="X17" s="2">
        <v>30.225999999999999</v>
      </c>
      <c r="Y17" s="2">
        <v>5.1870000000000003</v>
      </c>
      <c r="Z17" s="2">
        <v>7.9089999999999998</v>
      </c>
      <c r="AA17" s="2">
        <v>7.1719999999999997</v>
      </c>
      <c r="AB17" s="2">
        <v>0.73699999999999999</v>
      </c>
      <c r="AC17" s="2">
        <v>4.34</v>
      </c>
      <c r="AD17" s="2">
        <v>128.4</v>
      </c>
      <c r="AE17" s="2">
        <v>28.7</v>
      </c>
      <c r="AF17" s="2">
        <v>7.9770000000000003</v>
      </c>
    </row>
    <row r="18" spans="1:32" x14ac:dyDescent="0.35">
      <c r="A18" s="2" t="s">
        <v>37</v>
      </c>
      <c r="B18" s="2">
        <v>325</v>
      </c>
      <c r="C18" s="2" t="s">
        <v>42</v>
      </c>
      <c r="D18" s="2">
        <v>4</v>
      </c>
      <c r="E18" s="2">
        <v>16</v>
      </c>
      <c r="F18" s="2" t="s">
        <v>102</v>
      </c>
      <c r="H18" s="3">
        <v>1024</v>
      </c>
      <c r="I18" s="3">
        <v>2097152</v>
      </c>
      <c r="J18" s="2">
        <v>1</v>
      </c>
      <c r="P18" s="2">
        <v>609.20000000000005</v>
      </c>
      <c r="Q18" s="2">
        <v>76.099999999999994</v>
      </c>
      <c r="R18" s="2">
        <v>297.452</v>
      </c>
      <c r="T18" s="2">
        <v>11</v>
      </c>
      <c r="U18" s="2">
        <v>512</v>
      </c>
      <c r="V18" s="2">
        <v>1.1898</v>
      </c>
      <c r="W18" s="2">
        <v>36.084000000000003</v>
      </c>
      <c r="X18" s="2">
        <v>30.201000000000001</v>
      </c>
      <c r="Y18" s="2">
        <v>5.883</v>
      </c>
      <c r="Z18" s="2">
        <v>8.0370000000000008</v>
      </c>
      <c r="AA18" s="2">
        <v>7.21</v>
      </c>
      <c r="AB18" s="2">
        <v>0.82699999999999996</v>
      </c>
      <c r="AC18" s="2">
        <v>4.9320000000000004</v>
      </c>
      <c r="AD18" s="2">
        <v>121.3</v>
      </c>
      <c r="AE18" s="2">
        <v>27</v>
      </c>
      <c r="AF18" s="2">
        <v>8.4410000000000007</v>
      </c>
    </row>
    <row r="19" spans="1:32" x14ac:dyDescent="0.35">
      <c r="A19" s="2" t="s">
        <v>37</v>
      </c>
      <c r="B19" s="2">
        <v>300</v>
      </c>
      <c r="C19" s="2" t="s">
        <v>44</v>
      </c>
      <c r="D19" s="2">
        <v>5</v>
      </c>
      <c r="E19" s="2">
        <v>32</v>
      </c>
      <c r="F19" s="2" t="s">
        <v>102</v>
      </c>
      <c r="H19" s="3">
        <v>1024</v>
      </c>
      <c r="I19" s="3">
        <v>2097152</v>
      </c>
      <c r="J19" s="2">
        <v>0.5</v>
      </c>
      <c r="P19" s="3">
        <v>1117</v>
      </c>
      <c r="Q19" s="2">
        <v>69.8</v>
      </c>
      <c r="R19" s="2">
        <v>545.41700000000003</v>
      </c>
      <c r="T19" s="2">
        <v>11</v>
      </c>
      <c r="U19" s="2">
        <v>512</v>
      </c>
      <c r="V19" s="2">
        <v>2.1817000000000002</v>
      </c>
      <c r="W19" s="2">
        <v>35.521000000000001</v>
      </c>
      <c r="X19" s="2">
        <v>30.138000000000002</v>
      </c>
      <c r="Y19" s="2">
        <v>5.383</v>
      </c>
      <c r="Z19" s="2">
        <v>7.9059999999999997</v>
      </c>
      <c r="AA19" s="2">
        <v>7.2489999999999997</v>
      </c>
      <c r="AB19" s="2">
        <v>0.65700000000000003</v>
      </c>
      <c r="AC19" s="2">
        <v>4.6280000000000001</v>
      </c>
      <c r="AD19" s="2">
        <v>65.099999999999994</v>
      </c>
      <c r="AE19" s="2">
        <v>14.5</v>
      </c>
      <c r="AF19" s="2">
        <v>15.723000000000001</v>
      </c>
    </row>
    <row r="20" spans="1:32" x14ac:dyDescent="0.35">
      <c r="A20" s="2" t="s">
        <v>37</v>
      </c>
      <c r="B20" s="2">
        <v>325</v>
      </c>
      <c r="C20" s="2" t="s">
        <v>44</v>
      </c>
      <c r="D20" s="2">
        <v>5</v>
      </c>
      <c r="E20" s="2">
        <v>32</v>
      </c>
      <c r="F20" s="2" t="s">
        <v>102</v>
      </c>
      <c r="H20" s="3">
        <v>1024</v>
      </c>
      <c r="I20" s="3">
        <v>2097152</v>
      </c>
      <c r="J20" s="2">
        <v>0.5</v>
      </c>
      <c r="P20" s="2">
        <v>1211.0999999999999</v>
      </c>
      <c r="Q20" s="2">
        <v>75.7</v>
      </c>
      <c r="R20" s="2">
        <v>591.37099999999998</v>
      </c>
      <c r="T20" s="2">
        <v>11</v>
      </c>
      <c r="U20" s="2">
        <v>512</v>
      </c>
      <c r="V20" s="2">
        <v>2.3654999999999999</v>
      </c>
      <c r="W20" s="2">
        <v>36.338000000000001</v>
      </c>
      <c r="X20" s="2">
        <v>30.335999999999999</v>
      </c>
      <c r="Y20" s="2">
        <v>6.0019999999999998</v>
      </c>
      <c r="Z20" s="2">
        <v>8.0579999999999998</v>
      </c>
      <c r="AA20" s="2">
        <v>7.2610000000000001</v>
      </c>
      <c r="AB20" s="2">
        <v>0.79700000000000004</v>
      </c>
      <c r="AC20" s="2">
        <v>5.0860000000000003</v>
      </c>
      <c r="AD20" s="2">
        <v>61.4</v>
      </c>
      <c r="AE20" s="2">
        <v>13.6</v>
      </c>
      <c r="AF20" s="2">
        <v>16.664999999999999</v>
      </c>
    </row>
    <row r="21" spans="1:32" x14ac:dyDescent="0.35">
      <c r="A21" s="2" t="s">
        <v>37</v>
      </c>
      <c r="B21" s="2">
        <v>300</v>
      </c>
      <c r="C21" s="2" t="s">
        <v>103</v>
      </c>
      <c r="D21" s="2">
        <v>99</v>
      </c>
      <c r="F21" s="2" t="s">
        <v>104</v>
      </c>
      <c r="G21" s="3">
        <v>1048576</v>
      </c>
      <c r="H21" s="3">
        <v>1024</v>
      </c>
      <c r="I21" s="3">
        <v>1966080</v>
      </c>
      <c r="J21" s="2">
        <v>1.875</v>
      </c>
      <c r="K21" s="2">
        <v>7417.2</v>
      </c>
      <c r="L21" s="2">
        <v>7400.7</v>
      </c>
      <c r="M21" s="2">
        <v>93.587999999999994</v>
      </c>
      <c r="N21" s="2">
        <v>105.6</v>
      </c>
      <c r="O21" s="2">
        <v>88.6</v>
      </c>
      <c r="P21" s="2">
        <v>289.5</v>
      </c>
      <c r="Q21" s="2">
        <v>67.900000000000006</v>
      </c>
      <c r="R21" s="2">
        <v>141.37100000000001</v>
      </c>
      <c r="S21" s="2">
        <v>0.97570000000000001</v>
      </c>
      <c r="T21" s="2">
        <v>11</v>
      </c>
      <c r="U21" s="2">
        <v>512</v>
      </c>
      <c r="V21" s="2">
        <v>0.5655</v>
      </c>
    </row>
  </sheetData>
  <autoFilter ref="A1:AF21" xr:uid="{00000000-0009-0000-0000-000002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"/>
  <sheetViews>
    <sheetView zoomScale="10" zoomScaleNormal="1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0" customWidth="1"/>
    <col min="3" max="3" width="15" customWidth="1"/>
    <col min="4" max="4" width="10" customWidth="1"/>
    <col min="5" max="6" width="15" customWidth="1"/>
    <col min="7" max="8" width="10" customWidth="1"/>
    <col min="9" max="9" width="14" customWidth="1"/>
    <col min="10" max="10" width="29" customWidth="1"/>
    <col min="11" max="11" width="22" customWidth="1"/>
    <col min="12" max="12" width="16" customWidth="1"/>
    <col min="13" max="13" width="15" customWidth="1"/>
    <col min="14" max="14" width="10" customWidth="1"/>
    <col min="15" max="15" width="21" customWidth="1"/>
    <col min="16" max="16" width="14" customWidth="1"/>
    <col min="17" max="17" width="15" customWidth="1"/>
    <col min="18" max="18" width="12" customWidth="1"/>
    <col min="19" max="19" width="21" customWidth="1"/>
    <col min="20" max="20" width="30" customWidth="1"/>
    <col min="21" max="21" width="18" customWidth="1"/>
  </cols>
  <sheetData>
    <row r="1" spans="1:21" ht="30" customHeight="1" x14ac:dyDescent="0.35">
      <c r="A1" s="1" t="s">
        <v>105</v>
      </c>
      <c r="B1" s="1" t="s">
        <v>106</v>
      </c>
      <c r="C1" s="1" t="s">
        <v>107</v>
      </c>
      <c r="D1" s="1" t="s">
        <v>2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8</v>
      </c>
      <c r="J1" s="1" t="s">
        <v>112</v>
      </c>
      <c r="K1" s="1" t="s">
        <v>113</v>
      </c>
      <c r="L1" s="1" t="s">
        <v>114</v>
      </c>
      <c r="M1" s="1" t="s">
        <v>64</v>
      </c>
      <c r="N1" s="1" t="s">
        <v>14</v>
      </c>
      <c r="O1" s="1" t="s">
        <v>115</v>
      </c>
      <c r="P1" s="1" t="s">
        <v>116</v>
      </c>
      <c r="Q1" s="1" t="s">
        <v>117</v>
      </c>
      <c r="R1" s="1" t="s">
        <v>13</v>
      </c>
      <c r="S1" s="1" t="s">
        <v>118</v>
      </c>
      <c r="T1" s="1" t="s">
        <v>119</v>
      </c>
      <c r="U1" s="1" t="s">
        <v>18</v>
      </c>
    </row>
    <row r="2" spans="1:21" x14ac:dyDescent="0.35">
      <c r="A2" s="2" t="s">
        <v>120</v>
      </c>
      <c r="B2" s="2">
        <v>0</v>
      </c>
      <c r="C2" s="2" t="s">
        <v>121</v>
      </c>
      <c r="D2" s="2" t="s">
        <v>38</v>
      </c>
      <c r="E2" s="2">
        <v>8</v>
      </c>
      <c r="F2" s="2">
        <v>256</v>
      </c>
      <c r="G2" s="3">
        <v>4096</v>
      </c>
      <c r="H2" s="3">
        <v>262144</v>
      </c>
      <c r="I2" s="3">
        <v>1048576</v>
      </c>
      <c r="J2" s="2">
        <v>3.4060000000000002E-3</v>
      </c>
      <c r="K2" s="2">
        <v>3571.4</v>
      </c>
    </row>
    <row r="3" spans="1:21" x14ac:dyDescent="0.35">
      <c r="A3" s="2" t="s">
        <v>120</v>
      </c>
      <c r="B3" s="2">
        <v>1</v>
      </c>
      <c r="C3" s="2" t="s">
        <v>122</v>
      </c>
      <c r="D3" s="2" t="s">
        <v>40</v>
      </c>
      <c r="E3" s="2">
        <v>4</v>
      </c>
      <c r="F3" s="2">
        <v>128</v>
      </c>
      <c r="G3" s="3">
        <v>4096</v>
      </c>
      <c r="H3" s="3">
        <v>262144</v>
      </c>
      <c r="I3" s="3">
        <v>524288</v>
      </c>
      <c r="J3" s="2">
        <v>3.4139999999999999E-3</v>
      </c>
      <c r="K3" s="2">
        <v>1789.9</v>
      </c>
    </row>
    <row r="4" spans="1:21" x14ac:dyDescent="0.35">
      <c r="A4" s="2" t="s">
        <v>120</v>
      </c>
      <c r="B4" s="2">
        <v>2</v>
      </c>
      <c r="C4" s="2" t="s">
        <v>123</v>
      </c>
      <c r="D4" s="2" t="s">
        <v>42</v>
      </c>
      <c r="E4" s="2">
        <v>2</v>
      </c>
      <c r="F4" s="2">
        <v>64</v>
      </c>
      <c r="G4" s="3">
        <v>4096</v>
      </c>
      <c r="H4" s="3">
        <v>262144</v>
      </c>
      <c r="I4" s="3">
        <v>262144</v>
      </c>
      <c r="J4" s="2">
        <v>3.4399999999999999E-3</v>
      </c>
      <c r="K4" s="2">
        <v>901.8</v>
      </c>
    </row>
    <row r="5" spans="1:21" x14ac:dyDescent="0.35">
      <c r="A5" s="2" t="s">
        <v>120</v>
      </c>
      <c r="B5" s="2">
        <v>3</v>
      </c>
      <c r="C5" s="2" t="s">
        <v>124</v>
      </c>
      <c r="D5" s="2" t="s">
        <v>44</v>
      </c>
      <c r="E5" s="2">
        <v>1</v>
      </c>
      <c r="F5" s="2">
        <v>32</v>
      </c>
      <c r="G5" s="3">
        <v>4096</v>
      </c>
      <c r="H5" s="3">
        <v>262144</v>
      </c>
      <c r="I5" s="3">
        <v>131072</v>
      </c>
      <c r="J5" s="2">
        <v>3.4589999999999998E-3</v>
      </c>
      <c r="K5" s="2">
        <v>453.4</v>
      </c>
    </row>
    <row r="6" spans="1:21" x14ac:dyDescent="0.35">
      <c r="A6" s="2" t="s">
        <v>125</v>
      </c>
      <c r="D6" s="2" t="s">
        <v>46</v>
      </c>
      <c r="G6" s="3">
        <v>16384</v>
      </c>
      <c r="H6" s="3">
        <v>1048576</v>
      </c>
      <c r="I6" s="3">
        <v>1966080</v>
      </c>
      <c r="K6" s="2">
        <v>6716.5</v>
      </c>
    </row>
    <row r="7" spans="1:21" x14ac:dyDescent="0.35">
      <c r="A7" s="2" t="s">
        <v>126</v>
      </c>
      <c r="B7" s="2">
        <v>1</v>
      </c>
      <c r="D7" s="2" t="s">
        <v>46</v>
      </c>
      <c r="H7" s="3">
        <v>1048576</v>
      </c>
      <c r="I7" s="3">
        <v>1966080</v>
      </c>
      <c r="L7" s="2">
        <v>7400.701</v>
      </c>
      <c r="M7" s="2">
        <v>93.796000000000006</v>
      </c>
      <c r="N7" s="2">
        <v>141.68600000000001</v>
      </c>
      <c r="O7" s="2">
        <v>0.88600000000000001</v>
      </c>
    </row>
    <row r="8" spans="1:21" x14ac:dyDescent="0.35">
      <c r="A8" s="2" t="s">
        <v>126</v>
      </c>
      <c r="B8" s="2">
        <v>2</v>
      </c>
      <c r="D8" s="2" t="s">
        <v>46</v>
      </c>
      <c r="H8" s="3">
        <v>1048576</v>
      </c>
      <c r="I8" s="3">
        <v>1966080</v>
      </c>
      <c r="L8" s="2">
        <v>7421.5829999999996</v>
      </c>
      <c r="M8" s="2">
        <v>93.533000000000001</v>
      </c>
      <c r="N8" s="2">
        <v>141.28700000000001</v>
      </c>
      <c r="O8" s="2">
        <v>0.88300000000000001</v>
      </c>
    </row>
    <row r="9" spans="1:21" x14ac:dyDescent="0.35">
      <c r="A9" s="2" t="s">
        <v>126</v>
      </c>
      <c r="B9" s="2">
        <v>3</v>
      </c>
      <c r="D9" s="2" t="s">
        <v>46</v>
      </c>
      <c r="H9" s="3">
        <v>1048576</v>
      </c>
      <c r="I9" s="3">
        <v>1966080</v>
      </c>
      <c r="L9" s="2">
        <v>7429.3680000000004</v>
      </c>
      <c r="M9" s="2">
        <v>93.435000000000002</v>
      </c>
      <c r="N9" s="2">
        <v>141.13900000000001</v>
      </c>
      <c r="O9" s="2">
        <v>0.88200000000000001</v>
      </c>
    </row>
    <row r="10" spans="1:21" x14ac:dyDescent="0.35">
      <c r="A10" s="2" t="s">
        <v>127</v>
      </c>
      <c r="D10" s="2" t="s">
        <v>46</v>
      </c>
      <c r="G10" s="3">
        <v>16384</v>
      </c>
      <c r="H10" s="3">
        <v>1048576</v>
      </c>
      <c r="I10" s="3">
        <v>1966080</v>
      </c>
      <c r="K10" s="2">
        <v>6716.5</v>
      </c>
      <c r="L10" s="2">
        <v>7417.2169999999996</v>
      </c>
      <c r="M10" s="2">
        <v>93.587999999999994</v>
      </c>
      <c r="N10" s="2">
        <v>141.37100000000001</v>
      </c>
      <c r="O10" s="2">
        <v>0.88370000000000004</v>
      </c>
      <c r="P10" s="2">
        <v>7400.701</v>
      </c>
      <c r="Q10" s="2">
        <v>7429.3680000000004</v>
      </c>
      <c r="R10" s="2">
        <v>0.38700000000000001</v>
      </c>
      <c r="S10" s="2">
        <v>700.7</v>
      </c>
      <c r="T10" s="2">
        <v>0.97570000000000001</v>
      </c>
      <c r="U10" s="2">
        <v>289.5</v>
      </c>
    </row>
  </sheetData>
  <autoFilter ref="A1:U10" xr:uid="{00000000-0009-0000-0000-000003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zoomScale="40" zoomScaleNormal="4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7" width="10" customWidth="1"/>
    <col min="8" max="8" width="30" customWidth="1"/>
  </cols>
  <sheetData>
    <row r="1" spans="1:8" ht="30" customHeight="1" x14ac:dyDescent="0.35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</row>
    <row r="2" spans="1:8" x14ac:dyDescent="0.35">
      <c r="A2" s="2" t="s">
        <v>136</v>
      </c>
      <c r="B2" s="3">
        <v>19261</v>
      </c>
      <c r="C2" s="3">
        <v>20726</v>
      </c>
      <c r="D2" s="3">
        <v>8372</v>
      </c>
      <c r="E2" s="2">
        <v>35.049999999999997</v>
      </c>
      <c r="F2" s="2">
        <v>38.380000000000003</v>
      </c>
      <c r="G2" s="2">
        <v>15.5</v>
      </c>
    </row>
    <row r="3" spans="1:8" x14ac:dyDescent="0.35">
      <c r="A3" s="2" t="s">
        <v>137</v>
      </c>
      <c r="B3" s="3">
        <v>69453</v>
      </c>
      <c r="C3" s="3">
        <v>113940</v>
      </c>
      <c r="D3" s="3">
        <v>35362</v>
      </c>
      <c r="E3" s="2">
        <v>15.8</v>
      </c>
      <c r="F3" s="2">
        <v>26.38</v>
      </c>
      <c r="G3" s="2">
        <v>8.19</v>
      </c>
    </row>
    <row r="4" spans="1:8" x14ac:dyDescent="0.35">
      <c r="A4" s="2" t="s">
        <v>138</v>
      </c>
      <c r="B4" s="3">
        <v>53540</v>
      </c>
      <c r="C4" s="3">
        <v>104211</v>
      </c>
      <c r="D4" s="3">
        <v>32322</v>
      </c>
      <c r="E4" s="2">
        <v>12.18</v>
      </c>
      <c r="F4" s="2">
        <v>24.12</v>
      </c>
      <c r="G4" s="2">
        <v>7.48</v>
      </c>
    </row>
    <row r="5" spans="1:8" x14ac:dyDescent="0.35">
      <c r="A5" s="2" t="s">
        <v>139</v>
      </c>
      <c r="B5" s="3">
        <v>15913</v>
      </c>
      <c r="C5" s="3">
        <v>9729</v>
      </c>
      <c r="D5" s="3">
        <v>3040</v>
      </c>
      <c r="E5" s="2">
        <v>7.75</v>
      </c>
      <c r="F5" s="2">
        <v>4.92</v>
      </c>
      <c r="G5" s="2">
        <v>1.54</v>
      </c>
    </row>
    <row r="6" spans="1:8" x14ac:dyDescent="0.35">
      <c r="A6" s="2" t="s">
        <v>140</v>
      </c>
      <c r="B6" s="3">
        <v>133849</v>
      </c>
      <c r="C6" s="3">
        <v>133678</v>
      </c>
      <c r="D6" s="3">
        <v>60953</v>
      </c>
      <c r="E6" s="2">
        <v>15.22</v>
      </c>
      <c r="F6" s="2">
        <v>15.47</v>
      </c>
      <c r="G6" s="2">
        <v>7.05</v>
      </c>
    </row>
    <row r="7" spans="1:8" x14ac:dyDescent="0.35">
      <c r="A7" s="2" t="s">
        <v>141</v>
      </c>
      <c r="B7" s="3">
        <v>1311</v>
      </c>
      <c r="C7" s="3">
        <v>3357</v>
      </c>
      <c r="D7" s="2">
        <v>313</v>
      </c>
      <c r="E7" s="2">
        <v>2.39</v>
      </c>
      <c r="F7" s="2">
        <v>6.22</v>
      </c>
      <c r="G7" s="2">
        <v>0.57999999999999996</v>
      </c>
    </row>
    <row r="8" spans="1:8" x14ac:dyDescent="0.35">
      <c r="A8" s="2" t="s">
        <v>142</v>
      </c>
      <c r="B8" s="3">
        <v>3143</v>
      </c>
      <c r="C8" s="3">
        <v>8843</v>
      </c>
      <c r="D8" s="3">
        <v>1054</v>
      </c>
      <c r="E8" s="2">
        <v>1.43</v>
      </c>
      <c r="F8" s="2">
        <v>4.09</v>
      </c>
      <c r="G8" s="2">
        <v>0.49</v>
      </c>
      <c r="H8" s="2" t="s">
        <v>143</v>
      </c>
    </row>
    <row r="9" spans="1:8" x14ac:dyDescent="0.35">
      <c r="A9" s="2" t="s">
        <v>144</v>
      </c>
      <c r="B9" s="2">
        <v>16</v>
      </c>
      <c r="C9" s="2">
        <v>141</v>
      </c>
      <c r="D9" s="2">
        <v>47</v>
      </c>
      <c r="E9" s="2">
        <v>0.01</v>
      </c>
      <c r="F9" s="2">
        <v>0.13</v>
      </c>
      <c r="G9" s="2">
        <v>0.04</v>
      </c>
    </row>
    <row r="10" spans="1:8" x14ac:dyDescent="0.35">
      <c r="A10" s="2" t="s">
        <v>145</v>
      </c>
      <c r="B10" s="2">
        <v>276</v>
      </c>
      <c r="C10" s="2">
        <v>154.5</v>
      </c>
      <c r="D10" s="2">
        <v>94</v>
      </c>
      <c r="E10" s="2">
        <v>41.07</v>
      </c>
      <c r="F10" s="2">
        <v>22.99</v>
      </c>
      <c r="G10" s="2">
        <v>13.99</v>
      </c>
      <c r="H10" s="2" t="s">
        <v>146</v>
      </c>
    </row>
    <row r="11" spans="1:8" x14ac:dyDescent="0.35">
      <c r="A11" s="2" t="s">
        <v>147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8" x14ac:dyDescent="0.35">
      <c r="A12" s="2" t="s">
        <v>24</v>
      </c>
      <c r="B12" s="2">
        <v>0</v>
      </c>
      <c r="C12" s="2">
        <v>512</v>
      </c>
      <c r="D12" s="2">
        <v>4</v>
      </c>
      <c r="E12" s="2">
        <v>0</v>
      </c>
      <c r="F12" s="2">
        <v>16.670000000000002</v>
      </c>
      <c r="G12" s="2">
        <v>0.13</v>
      </c>
      <c r="H12" s="2" t="s">
        <v>148</v>
      </c>
    </row>
    <row r="13" spans="1:8" x14ac:dyDescent="0.35">
      <c r="A13" s="2" t="s">
        <v>149</v>
      </c>
      <c r="B13" s="2">
        <v>16</v>
      </c>
      <c r="C13" s="2">
        <v>0</v>
      </c>
      <c r="D13" s="2">
        <v>0</v>
      </c>
      <c r="H13" s="2" t="s">
        <v>150</v>
      </c>
    </row>
    <row r="14" spans="1:8" x14ac:dyDescent="0.35">
      <c r="A14" s="2" t="s">
        <v>151</v>
      </c>
      <c r="C14" s="3">
        <v>6853</v>
      </c>
      <c r="H14" s="2" t="s">
        <v>152</v>
      </c>
    </row>
    <row r="15" spans="1:8" x14ac:dyDescent="0.35">
      <c r="A15" s="2" t="s">
        <v>153</v>
      </c>
      <c r="C15" s="3">
        <v>3993</v>
      </c>
      <c r="H15" s="2" t="s">
        <v>154</v>
      </c>
    </row>
    <row r="16" spans="1:8" x14ac:dyDescent="0.35">
      <c r="A16" s="2" t="s">
        <v>155</v>
      </c>
      <c r="C16" s="3">
        <v>10846</v>
      </c>
    </row>
  </sheetData>
  <autoFilter ref="A1:H16" xr:uid="{00000000-0009-0000-0000-000004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377C-00BF-4249-9A9C-DBDFC9371EC2}">
  <dimension ref="A1:FB67"/>
  <sheetViews>
    <sheetView zoomScale="10" zoomScaleNormal="10" workbookViewId="0">
      <selection activeCell="EZ1" sqref="EZ1:FB7"/>
    </sheetView>
  </sheetViews>
  <sheetFormatPr defaultRowHeight="14.5" x14ac:dyDescent="0.35"/>
  <sheetData>
    <row r="1" spans="1:158" x14ac:dyDescent="0.35">
      <c r="A1" s="4" t="s">
        <v>156</v>
      </c>
      <c r="B1" s="8" t="s">
        <v>38</v>
      </c>
      <c r="C1" s="8" t="s">
        <v>40</v>
      </c>
      <c r="D1" s="8" t="s">
        <v>42</v>
      </c>
      <c r="E1" s="8" t="s">
        <v>44</v>
      </c>
      <c r="G1" s="4" t="s">
        <v>158</v>
      </c>
      <c r="H1" s="4" t="s">
        <v>159</v>
      </c>
      <c r="I1" s="4" t="s">
        <v>160</v>
      </c>
      <c r="K1" s="4" t="s">
        <v>158</v>
      </c>
      <c r="L1" s="4" t="s">
        <v>162</v>
      </c>
      <c r="M1" s="4" t="s">
        <v>163</v>
      </c>
      <c r="P1" s="4" t="s">
        <v>158</v>
      </c>
      <c r="Q1" s="4" t="s">
        <v>165</v>
      </c>
      <c r="R1" s="4" t="s">
        <v>166</v>
      </c>
      <c r="U1" s="4" t="s">
        <v>158</v>
      </c>
      <c r="V1" s="4" t="s">
        <v>159</v>
      </c>
      <c r="W1" s="4" t="s">
        <v>160</v>
      </c>
      <c r="Y1" s="4" t="s">
        <v>158</v>
      </c>
      <c r="Z1" s="4" t="s">
        <v>159</v>
      </c>
      <c r="AA1" s="4" t="s">
        <v>160</v>
      </c>
      <c r="AC1" s="4" t="s">
        <v>158</v>
      </c>
      <c r="AD1" s="4" t="s">
        <v>170</v>
      </c>
      <c r="AF1" s="4" t="s">
        <v>172</v>
      </c>
      <c r="AG1" s="4" t="s">
        <v>173</v>
      </c>
      <c r="AH1" s="4" t="s">
        <v>174</v>
      </c>
      <c r="AI1" s="4" t="s">
        <v>175</v>
      </c>
      <c r="AJ1" s="4" t="s">
        <v>176</v>
      </c>
      <c r="AK1" s="4" t="s">
        <v>177</v>
      </c>
      <c r="AL1" s="4" t="s">
        <v>178</v>
      </c>
      <c r="AN1" s="4" t="s">
        <v>184</v>
      </c>
      <c r="AO1" s="4" t="s">
        <v>34</v>
      </c>
      <c r="AP1" s="8" t="s">
        <v>38</v>
      </c>
      <c r="AQ1" s="8" t="s">
        <v>40</v>
      </c>
      <c r="AR1" s="8" t="s">
        <v>42</v>
      </c>
      <c r="AS1" s="8" t="s">
        <v>44</v>
      </c>
      <c r="AT1" s="4" t="s">
        <v>185</v>
      </c>
      <c r="AU1" s="4" t="s">
        <v>186</v>
      </c>
      <c r="AV1" s="4" t="s">
        <v>187</v>
      </c>
      <c r="AW1" s="4" t="s">
        <v>188</v>
      </c>
      <c r="AX1" s="4" t="s">
        <v>189</v>
      </c>
      <c r="AY1" s="4" t="s">
        <v>190</v>
      </c>
      <c r="BA1" s="4" t="s">
        <v>183</v>
      </c>
      <c r="BC1" s="4" t="s">
        <v>184</v>
      </c>
      <c r="BD1" s="4" t="s">
        <v>34</v>
      </c>
      <c r="BE1" s="8" t="s">
        <v>38</v>
      </c>
      <c r="BF1" s="8" t="s">
        <v>40</v>
      </c>
      <c r="BG1" s="8" t="s">
        <v>42</v>
      </c>
      <c r="BH1" s="8" t="s">
        <v>44</v>
      </c>
      <c r="BI1" s="4" t="s">
        <v>192</v>
      </c>
      <c r="BK1" s="8" t="s">
        <v>184</v>
      </c>
      <c r="BL1" s="8" t="s">
        <v>34</v>
      </c>
      <c r="BM1" s="9" t="s">
        <v>38</v>
      </c>
      <c r="BN1" s="9" t="s">
        <v>40</v>
      </c>
      <c r="BO1" s="9" t="s">
        <v>42</v>
      </c>
      <c r="BP1" s="9" t="s">
        <v>44</v>
      </c>
      <c r="BQ1" t="s">
        <v>46</v>
      </c>
      <c r="BS1" s="9" t="s">
        <v>158</v>
      </c>
      <c r="BT1" s="9" t="s">
        <v>184</v>
      </c>
      <c r="BU1" s="9" t="s">
        <v>204</v>
      </c>
      <c r="BV1" s="9" t="s">
        <v>205</v>
      </c>
      <c r="BX1" s="9" t="s">
        <v>206</v>
      </c>
      <c r="BY1" s="9" t="s">
        <v>184</v>
      </c>
      <c r="BZ1" s="9" t="s">
        <v>158</v>
      </c>
      <c r="CA1" s="9" t="s">
        <v>204</v>
      </c>
      <c r="CB1" s="9" t="s">
        <v>205</v>
      </c>
      <c r="CD1" s="9" t="s">
        <v>184</v>
      </c>
      <c r="CE1" s="9" t="s">
        <v>158</v>
      </c>
      <c r="CF1" s="9" t="s">
        <v>207</v>
      </c>
      <c r="CG1" s="9" t="s">
        <v>208</v>
      </c>
      <c r="CI1" s="9" t="s">
        <v>240</v>
      </c>
      <c r="CJ1" s="9" t="s">
        <v>159</v>
      </c>
      <c r="CK1" s="9" t="s">
        <v>160</v>
      </c>
      <c r="CM1" s="9" t="s">
        <v>240</v>
      </c>
      <c r="CN1" s="9" t="s">
        <v>159</v>
      </c>
      <c r="CO1" s="9" t="s">
        <v>160</v>
      </c>
      <c r="CQ1" s="9" t="s">
        <v>240</v>
      </c>
      <c r="CR1" s="9" t="s">
        <v>241</v>
      </c>
      <c r="CS1" s="9" t="s">
        <v>242</v>
      </c>
      <c r="CU1" s="9" t="s">
        <v>240</v>
      </c>
      <c r="CV1" s="9" t="s">
        <v>159</v>
      </c>
      <c r="CW1" s="9" t="s">
        <v>160</v>
      </c>
      <c r="CY1" s="9" t="s">
        <v>184</v>
      </c>
      <c r="CZ1" s="9" t="s">
        <v>34</v>
      </c>
      <c r="DA1" s="9" t="s">
        <v>38</v>
      </c>
      <c r="DB1" s="9" t="s">
        <v>40</v>
      </c>
      <c r="DC1" s="9" t="s">
        <v>42</v>
      </c>
      <c r="DD1" s="9" t="s">
        <v>44</v>
      </c>
      <c r="DF1" t="s">
        <v>184</v>
      </c>
      <c r="DG1" t="s">
        <v>34</v>
      </c>
      <c r="DH1" s="9" t="s">
        <v>38</v>
      </c>
      <c r="DI1" s="9" t="s">
        <v>40</v>
      </c>
      <c r="DJ1" s="9" t="s">
        <v>42</v>
      </c>
      <c r="DK1" s="9" t="s">
        <v>44</v>
      </c>
      <c r="DL1" t="s">
        <v>46</v>
      </c>
      <c r="DN1" t="s">
        <v>206</v>
      </c>
      <c r="DO1" t="s">
        <v>184</v>
      </c>
      <c r="DP1" t="s">
        <v>158</v>
      </c>
      <c r="DQ1" t="s">
        <v>204</v>
      </c>
      <c r="DR1" t="s">
        <v>205</v>
      </c>
      <c r="DT1" t="s">
        <v>184</v>
      </c>
      <c r="DU1" t="s">
        <v>158</v>
      </c>
      <c r="DV1" t="s">
        <v>207</v>
      </c>
      <c r="DW1" t="s">
        <v>208</v>
      </c>
      <c r="DY1" t="s">
        <v>285</v>
      </c>
      <c r="DZ1" t="s">
        <v>159</v>
      </c>
      <c r="EA1" t="s">
        <v>160</v>
      </c>
      <c r="EB1" t="s">
        <v>286</v>
      </c>
      <c r="ED1" t="s">
        <v>285</v>
      </c>
      <c r="EE1" t="s">
        <v>287</v>
      </c>
      <c r="EF1" t="s">
        <v>288</v>
      </c>
      <c r="EG1" t="s">
        <v>289</v>
      </c>
      <c r="EI1" t="s">
        <v>318</v>
      </c>
      <c r="EJ1" t="s">
        <v>319</v>
      </c>
      <c r="EL1" t="s">
        <v>318</v>
      </c>
      <c r="EM1" t="s">
        <v>320</v>
      </c>
      <c r="EN1" t="s">
        <v>321</v>
      </c>
      <c r="EO1" t="s">
        <v>319</v>
      </c>
      <c r="EP1" t="s">
        <v>206</v>
      </c>
      <c r="EQ1" t="s">
        <v>361</v>
      </c>
      <c r="ER1" t="s">
        <v>362</v>
      </c>
      <c r="ES1" t="s">
        <v>363</v>
      </c>
      <c r="ET1" t="s">
        <v>364</v>
      </c>
      <c r="EV1" t="s">
        <v>361</v>
      </c>
      <c r="EW1" t="s">
        <v>24</v>
      </c>
      <c r="EX1" t="s">
        <v>365</v>
      </c>
      <c r="EZ1" t="s">
        <v>361</v>
      </c>
      <c r="FA1" t="s">
        <v>366</v>
      </c>
      <c r="FB1" t="s">
        <v>319</v>
      </c>
    </row>
    <row r="2" spans="1:158" x14ac:dyDescent="0.35">
      <c r="A2" t="str">
        <f>Shapes!C14</f>
        <v>G1</v>
      </c>
      <c r="B2">
        <f>Shapes!S14</f>
        <v>2.0023</v>
      </c>
      <c r="C2">
        <f>Shapes!S26</f>
        <v>3.8917999999999999</v>
      </c>
      <c r="D2">
        <f>Shapes!S38</f>
        <v>7.7542</v>
      </c>
      <c r="E2">
        <f>Shapes!S50</f>
        <v>15.1937</v>
      </c>
      <c r="G2" t="str">
        <f>'avg3 comparison'!C2</f>
        <v>dense</v>
      </c>
      <c r="H2">
        <f>'avg3 comparison'!S2</f>
        <v>69.31</v>
      </c>
      <c r="I2">
        <f>'avg3 comparison'!S8</f>
        <v>75.3</v>
      </c>
      <c r="K2" t="str">
        <f>'avg3 comparison'!C2</f>
        <v>dense</v>
      </c>
      <c r="L2">
        <f>'avg3 comparison'!G2</f>
        <v>262144</v>
      </c>
      <c r="M2">
        <f>'avg3 comparison'!K2</f>
        <v>7745.5770000000002</v>
      </c>
      <c r="P2" t="str">
        <f>'avg3 comparison'!C2</f>
        <v>dense</v>
      </c>
      <c r="Q2">
        <f>'avg3 comparison'!AG2</f>
        <v>0.13539999999999999</v>
      </c>
      <c r="R2">
        <f>'avg3 comparison'!Z2</f>
        <v>0.13539999999999999</v>
      </c>
      <c r="U2" t="str">
        <f>'avg3 comparison'!C2</f>
        <v>dense</v>
      </c>
      <c r="V2">
        <f>'avg3 comparison'!AD2</f>
        <v>0.95920000000000005</v>
      </c>
      <c r="W2">
        <f>'avg3 comparison'!AD8</f>
        <v>0.96709999999999996</v>
      </c>
      <c r="Y2" t="str">
        <f>Master!C11</f>
        <v>dense</v>
      </c>
      <c r="Z2">
        <f>Master!AD11</f>
        <v>887.5</v>
      </c>
      <c r="AA2">
        <f>Master!AD12</f>
        <v>832.8</v>
      </c>
      <c r="AC2" t="str">
        <f>Master!C11</f>
        <v>dense</v>
      </c>
      <c r="AD2">
        <f>Master!W11</f>
        <v>31.297000000000001</v>
      </c>
      <c r="AF2" t="s">
        <v>179</v>
      </c>
      <c r="AG2">
        <f>'Mixed sparsity'!K2</f>
        <v>3571.4</v>
      </c>
      <c r="AH2">
        <f>'Mixed sparsity'!K3</f>
        <v>1789.9</v>
      </c>
      <c r="AI2">
        <f>'Mixed sparsity'!K4</f>
        <v>901.8</v>
      </c>
      <c r="AJ2">
        <f>'Mixed sparsity'!K5</f>
        <v>453.4</v>
      </c>
      <c r="AK2">
        <f>'Mixed sparsity'!S10</f>
        <v>700.7</v>
      </c>
      <c r="AN2" t="str">
        <f>Shapes!D2</f>
        <v>512x512</v>
      </c>
      <c r="AO2">
        <f>Shapes!Q2</f>
        <v>74.099999999999994</v>
      </c>
      <c r="AP2">
        <f>Shapes!Q14</f>
        <v>74.180000000000007</v>
      </c>
      <c r="AQ2">
        <f>Shapes!Q26</f>
        <v>72.09</v>
      </c>
      <c r="AR2">
        <f>Shapes!Q38</f>
        <v>71.819999999999993</v>
      </c>
      <c r="AS2">
        <f>Shapes!Q50</f>
        <v>70.37</v>
      </c>
      <c r="AT2">
        <f>Shapes!P2</f>
        <v>74.099999999999994</v>
      </c>
      <c r="AU2">
        <f>Shapes!P14</f>
        <v>148.36000000000001</v>
      </c>
      <c r="AV2">
        <f>Shapes!P26</f>
        <v>288.37</v>
      </c>
      <c r="AW2">
        <f>Shapes!P38</f>
        <v>574.54</v>
      </c>
      <c r="AX2">
        <f>Shapes!P50</f>
        <v>1125.8900000000001</v>
      </c>
      <c r="AY2">
        <f>$BA$2</f>
        <v>76.8</v>
      </c>
      <c r="BA2" s="7">
        <f>2*128*300/1000</f>
        <v>76.8</v>
      </c>
      <c r="BC2" t="str">
        <f t="shared" ref="BC2:BH2" si="0">AN2</f>
        <v>512x512</v>
      </c>
      <c r="BD2">
        <f t="shared" si="0"/>
        <v>74.099999999999994</v>
      </c>
      <c r="BE2">
        <f t="shared" si="0"/>
        <v>74.180000000000007</v>
      </c>
      <c r="BF2">
        <f t="shared" si="0"/>
        <v>72.09</v>
      </c>
      <c r="BG2">
        <f t="shared" si="0"/>
        <v>71.819999999999993</v>
      </c>
      <c r="BH2">
        <f t="shared" si="0"/>
        <v>70.37</v>
      </c>
      <c r="BI2">
        <f>AY2</f>
        <v>76.8</v>
      </c>
      <c r="BK2" t="str">
        <f>Shapes!D2</f>
        <v>512x512</v>
      </c>
      <c r="BL2">
        <f>Shapes!M2</f>
        <v>7.0757000000000003</v>
      </c>
      <c r="BM2">
        <f>Shapes!M14</f>
        <v>3.5337999999999998</v>
      </c>
      <c r="BN2">
        <f>Shapes!M26</f>
        <v>1.8181</v>
      </c>
      <c r="BO2">
        <f>Shapes!M38</f>
        <v>0.91249999999999998</v>
      </c>
      <c r="BP2">
        <f>Shapes!M50</f>
        <v>0.4657</v>
      </c>
      <c r="BQ2">
        <f>Shapes!M62</f>
        <v>1.6601999999999999</v>
      </c>
      <c r="BS2" t="str">
        <f>Energy!B2</f>
        <v>dense</v>
      </c>
      <c r="BT2" t="str">
        <f>Energy!F2</f>
        <v>512x512</v>
      </c>
      <c r="BU2">
        <f>Energy!Q2</f>
        <v>738.87</v>
      </c>
      <c r="BV2">
        <f>Energy!R2</f>
        <v>118.574</v>
      </c>
      <c r="BX2">
        <f>MOD(ROW()-2,6)*11+INT((ROW()-2)/6)+2</f>
        <v>2</v>
      </c>
      <c r="BY2" t="str" cm="1">
        <f t="array" ref="BY2">IF(MOD(ROW()-2,6)=2,INDEX(Energy!$F:$F,$BX2),"")</f>
        <v/>
      </c>
      <c r="BZ2" t="str" cm="1">
        <f t="array" ref="BZ2">INDEX(Energy!$B:$B,$BX2)</f>
        <v>dense</v>
      </c>
      <c r="CA2" cm="1">
        <f t="array" ref="CA2">INDEX(Energy!$Q:$Q,$BX2)</f>
        <v>738.87</v>
      </c>
      <c r="CB2" cm="1">
        <f t="array" ref="CB2">INDEX(Energy!$R:$R,$BX2)</f>
        <v>118.574</v>
      </c>
      <c r="CD2" t="s">
        <v>67</v>
      </c>
      <c r="CE2" t="str" cm="1">
        <f t="array" ref="CE2">INDEX(Energy!$B:$B,$BX2)</f>
        <v>dense</v>
      </c>
      <c r="CF2" cm="1">
        <f t="array" ref="CF2">INDEX(Energy!$N:$N,$BX2)</f>
        <v>193.69</v>
      </c>
      <c r="CG2" cm="1">
        <f t="array" ref="CG2">INDEX(Energy!$O:$O,$BX2)</f>
        <v>31.084</v>
      </c>
      <c r="CI2" t="str">
        <f>'Clock 300 vs 325'!A2</f>
        <v>dense</v>
      </c>
      <c r="CJ2">
        <f>IF('Clock 300 vs 325'!H2="",NA(),'Clock 300 vs 325'!H2)</f>
        <v>69.31</v>
      </c>
      <c r="CK2">
        <f>IF('Clock 300 vs 325'!I2="",NA(),'Clock 300 vs 325'!I2)</f>
        <v>75.3</v>
      </c>
      <c r="CM2" t="str">
        <f>'Clock 300 vs 325'!A2</f>
        <v>dense</v>
      </c>
      <c r="CN2">
        <f>IF('Clock 300 vs 325'!J2="",NA(),'Clock 300 vs 325'!J2)</f>
        <v>69.31</v>
      </c>
      <c r="CO2">
        <f>IF('Clock 300 vs 325'!K2="",NA(),'Clock 300 vs 325'!K2)</f>
        <v>75.3</v>
      </c>
      <c r="CQ2" t="str">
        <f>'Clock 300 vs 325'!A2</f>
        <v>dense</v>
      </c>
      <c r="CR2">
        <f>IF('Clock 300 vs 325'!U2="",NA(),'Clock 300 vs 325'!U2)</f>
        <v>1.0802</v>
      </c>
      <c r="CS2">
        <f>'Clock 300 vs 325'!Q2</f>
        <v>1.0832999999999999</v>
      </c>
      <c r="CU2" t="str">
        <f>'Clock 300 vs 325'!A2</f>
        <v>dense</v>
      </c>
      <c r="CV2">
        <f>IF('Clock 300 vs 325'!AA2="",NA(),'Clock 300 vs 325'!AA2)</f>
        <v>887.48400000000004</v>
      </c>
      <c r="CW2">
        <f>IF('Clock 300 vs 325'!AB2="",NA(),'Clock 300 vs 325'!AB2)</f>
        <v>832.77700000000004</v>
      </c>
      <c r="CY2" t="str">
        <f>'Shapes 325'!D2</f>
        <v>512x512</v>
      </c>
      <c r="CZ2">
        <f>'Shapes 325'!Q2</f>
        <v>79.760000000000005</v>
      </c>
      <c r="DA2">
        <f>'Shapes 325'!Q14</f>
        <v>80.349999999999994</v>
      </c>
      <c r="DB2">
        <f>'Shapes 325'!Q26</f>
        <v>79.12</v>
      </c>
      <c r="DC2">
        <f>'Shapes 325'!Q38</f>
        <v>78.650000000000006</v>
      </c>
      <c r="DD2">
        <f>'Shapes 325'!Q50</f>
        <v>76.48</v>
      </c>
      <c r="DF2" t="str">
        <f>'Shapes 325'!D2</f>
        <v>512x512</v>
      </c>
      <c r="DG2">
        <f>'Shapes 325'!M2</f>
        <v>6.5734000000000004</v>
      </c>
      <c r="DH2">
        <f>'Shapes 325'!M14</f>
        <v>3.2625000000000002</v>
      </c>
      <c r="DI2">
        <f>'Shapes 325'!M26</f>
        <v>1.6567000000000001</v>
      </c>
      <c r="DJ2">
        <f>'Shapes 325'!M38</f>
        <v>0.83330000000000004</v>
      </c>
      <c r="DK2">
        <f>'Shapes 325'!M50</f>
        <v>0.4284</v>
      </c>
      <c r="DL2">
        <f>'Shapes 325'!M62</f>
        <v>1.5274000000000001</v>
      </c>
      <c r="DN2">
        <f>MOD(ROW()-2,6)*11+INT((ROW()-2)/6)+2</f>
        <v>2</v>
      </c>
      <c r="DO2" t="str" cm="1">
        <f t="array" ref="DO2">IF(MOD(ROW()-2,6)=2,INDEX('Energy 325'!$F:$F,$DN2),"")</f>
        <v/>
      </c>
      <c r="DP2" t="str" cm="1">
        <f t="array" ref="DP2">INDEX('Energy 325'!$B:$B,$DN2)</f>
        <v>dense</v>
      </c>
      <c r="DQ2" cm="1">
        <f t="array" ref="DQ2">INDEX('Energy 325'!$Q:$Q,$DN2)</f>
        <v>678.97</v>
      </c>
      <c r="DR2" cm="1">
        <f t="array" ref="DR2">INDEX('Energy 325'!$R:$R,$DN2)</f>
        <v>116.526</v>
      </c>
      <c r="DT2" t="s">
        <v>67</v>
      </c>
      <c r="DU2" t="str" cm="1">
        <f t="array" ref="DU2">INDEX('Energy 325'!$B:$B,$DN2)</f>
        <v>dense</v>
      </c>
      <c r="DV2" cm="1">
        <f t="array" ref="DV2">INDEX('Energy 325'!$N:$N,$DN2)</f>
        <v>177.988</v>
      </c>
      <c r="DW2" cm="1">
        <f t="array" ref="DW2">INDEX('Energy 325'!$O:$O,$DN2)</f>
        <v>30.547000000000001</v>
      </c>
      <c r="DY2" t="str">
        <f>Serpens!C2</f>
        <v>G1 googleplus</v>
      </c>
      <c r="DZ2">
        <f>Serpens!K2</f>
        <v>4.93</v>
      </c>
      <c r="EA2">
        <f>Serpens!L2</f>
        <v>5.3630000000000004</v>
      </c>
      <c r="EB2">
        <v>1</v>
      </c>
      <c r="ED2" t="str">
        <f>Serpens!C2</f>
        <v>G1 googleplus</v>
      </c>
      <c r="EE2">
        <f>Serpens!M2</f>
        <v>0.25569999999999998</v>
      </c>
      <c r="EF2">
        <f>Serpens!N2</f>
        <v>0.96870000000000001</v>
      </c>
      <c r="EG2">
        <v>1</v>
      </c>
      <c r="EI2" t="str">
        <f>'Diagonal CxB64'!A2</f>
        <v>1x64</v>
      </c>
      <c r="EJ2">
        <f>'Diagonal CxB64'!K2</f>
        <v>417.9</v>
      </c>
      <c r="EL2" t="str">
        <f>'Diagonal CxB64'!A2</f>
        <v>1x64</v>
      </c>
      <c r="EM2">
        <f>'Diagonal CxB64'!M2</f>
        <v>71557</v>
      </c>
      <c r="EN2">
        <f>'Diagonal CxB64'!O2</f>
        <v>83643</v>
      </c>
      <c r="EO2">
        <f>'Diagonal CxB64'!K2</f>
        <v>417.9</v>
      </c>
      <c r="EP2">
        <f>(ROW()-2)*3+2</f>
        <v>2</v>
      </c>
      <c r="EQ2" t="str" cm="1">
        <f t="array" ref="EQ2">INDEX('Family AllPoints'!$B:$B,$EP2)</f>
        <v>T=16</v>
      </c>
      <c r="ER2" cm="1">
        <f t="array" ref="ER2">INDEX('Family AllPoints'!$R:$R,$EP2)</f>
        <v>619.6</v>
      </c>
      <c r="ES2" cm="1">
        <f t="array" ref="ES2">INDEX('Family AllPoints'!$R:$R,$EP2+1)</f>
        <v>586.9</v>
      </c>
      <c r="ET2" cm="1">
        <f t="array" ref="ET2">INDEX('Family AllPoints'!$R:$R,$EP2+2)</f>
        <v>541.1</v>
      </c>
      <c r="EV2" t="str">
        <f>'Family Scaling'!B2</f>
        <v>T=16</v>
      </c>
      <c r="EW2">
        <f>'Family Scaling'!G2</f>
        <v>128</v>
      </c>
      <c r="EX2">
        <f>'Family Scaling'!H2</f>
        <v>6</v>
      </c>
      <c r="EZ2" t="str">
        <f>'Family Scaling'!B2</f>
        <v>T=16</v>
      </c>
      <c r="FA2">
        <f>'Family Scaling'!Z2</f>
        <v>3.3</v>
      </c>
      <c r="FB2">
        <f>'Family Scaling'!R2</f>
        <v>619.6</v>
      </c>
    </row>
    <row r="3" spans="1:158" x14ac:dyDescent="0.35">
      <c r="A3" t="str">
        <f>Shapes!C15</f>
        <v>G2</v>
      </c>
      <c r="B3">
        <f>Shapes!S15</f>
        <v>2.0306999999999999</v>
      </c>
      <c r="C3">
        <f>Shapes!S27</f>
        <v>3.9712000000000001</v>
      </c>
      <c r="D3">
        <f>Shapes!S39</f>
        <v>7.8612000000000002</v>
      </c>
      <c r="E3">
        <f>Shapes!S51</f>
        <v>15.7401</v>
      </c>
      <c r="G3" t="str">
        <f>'avg3 comparison'!C3</f>
        <v>2:4</v>
      </c>
      <c r="H3">
        <f>'avg3 comparison'!S3</f>
        <v>137.19</v>
      </c>
      <c r="I3">
        <f>'avg3 comparison'!S9</f>
        <v>146.97</v>
      </c>
      <c r="K3" t="str">
        <f>'avg3 comparison'!C3</f>
        <v>2:4</v>
      </c>
      <c r="L3">
        <f>'avg3 comparison'!G3</f>
        <v>524288</v>
      </c>
      <c r="M3">
        <f>'avg3 comparison'!K3</f>
        <v>7826.5820000000003</v>
      </c>
      <c r="P3" t="str">
        <f>'avg3 comparison'!C3</f>
        <v>2:4</v>
      </c>
      <c r="Q3">
        <f>'avg3 comparison'!AG3</f>
        <v>0.13400000000000001</v>
      </c>
      <c r="R3">
        <f>'avg3 comparison'!Z3</f>
        <v>0.26800000000000002</v>
      </c>
      <c r="U3" t="str">
        <f>'avg3 comparison'!C3</f>
        <v>2:4</v>
      </c>
      <c r="V3">
        <f>'avg3 comparison'!AD3</f>
        <v>0.96989999999999998</v>
      </c>
      <c r="W3">
        <f>'avg3 comparison'!AD9</f>
        <v>0.96499999999999997</v>
      </c>
      <c r="Y3" t="str">
        <f>Master!C13</f>
        <v>2:4</v>
      </c>
      <c r="Z3">
        <f>Master!AD13</f>
        <v>508</v>
      </c>
      <c r="AA3">
        <f>Master!AD14</f>
        <v>474.1</v>
      </c>
      <c r="AC3" t="str">
        <f>Master!C13</f>
        <v>2:4</v>
      </c>
      <c r="AD3">
        <f>Master!W13</f>
        <v>35.442</v>
      </c>
      <c r="AF3" t="s">
        <v>180</v>
      </c>
      <c r="AL3">
        <f>'Mixed sparsity'!L10</f>
        <v>7417.2169999999996</v>
      </c>
      <c r="AN3" t="str">
        <f>Shapes!D3</f>
        <v>768x768</v>
      </c>
      <c r="AO3">
        <f>Shapes!Q3</f>
        <v>73.56</v>
      </c>
      <c r="AP3">
        <f>Shapes!Q15</f>
        <v>74.69</v>
      </c>
      <c r="AQ3">
        <f>Shapes!Q27</f>
        <v>73.03</v>
      </c>
      <c r="AR3">
        <f>Shapes!Q39</f>
        <v>72.290000000000006</v>
      </c>
      <c r="AS3">
        <f>Shapes!Q51</f>
        <v>72.37</v>
      </c>
      <c r="AT3">
        <f>Shapes!P3</f>
        <v>73.56</v>
      </c>
      <c r="AU3">
        <f>Shapes!P15</f>
        <v>149.38999999999999</v>
      </c>
      <c r="AV3">
        <f>Shapes!P27</f>
        <v>292.13</v>
      </c>
      <c r="AW3">
        <f>Shapes!P39</f>
        <v>578.28</v>
      </c>
      <c r="AX3">
        <f>Shapes!P51</f>
        <v>1157.8399999999999</v>
      </c>
      <c r="AY3">
        <f t="shared" ref="AY3:AY12" si="1">$BA$2</f>
        <v>76.8</v>
      </c>
      <c r="BC3" t="str">
        <f t="shared" ref="BC3:BC12" si="2">AN3</f>
        <v>768x768</v>
      </c>
      <c r="BD3">
        <f t="shared" ref="BD3:BD12" si="3">AO3</f>
        <v>73.56</v>
      </c>
      <c r="BE3">
        <f t="shared" ref="BE3:BE12" si="4">AP3</f>
        <v>74.69</v>
      </c>
      <c r="BF3">
        <f t="shared" ref="BF3:BF12" si="5">AQ3</f>
        <v>73.03</v>
      </c>
      <c r="BG3">
        <f t="shared" ref="BG3:BG12" si="6">AR3</f>
        <v>72.290000000000006</v>
      </c>
      <c r="BH3">
        <f t="shared" ref="BH3:BH12" si="7">AS3</f>
        <v>72.37</v>
      </c>
      <c r="BI3">
        <f t="shared" ref="BI3:BI12" si="8">AY3</f>
        <v>76.8</v>
      </c>
      <c r="BK3" t="str">
        <f>Shapes!D3</f>
        <v>768x768</v>
      </c>
      <c r="BL3">
        <f>Shapes!M3</f>
        <v>16.036000000000001</v>
      </c>
      <c r="BM3">
        <f>Shapes!M15</f>
        <v>7.8966000000000003</v>
      </c>
      <c r="BN3">
        <f>Shapes!M27</f>
        <v>4.0381</v>
      </c>
      <c r="BO3">
        <f>Shapes!M39</f>
        <v>2.0398999999999998</v>
      </c>
      <c r="BP3">
        <f>Shapes!M51</f>
        <v>1.0187999999999999</v>
      </c>
      <c r="BQ3">
        <f>Shapes!M63</f>
        <v>3.7231000000000001</v>
      </c>
      <c r="BS3" t="str">
        <f>Energy!B3</f>
        <v>dense</v>
      </c>
      <c r="BT3" t="str">
        <f>Energy!F3</f>
        <v>768x768</v>
      </c>
      <c r="BU3">
        <f>Energy!Q3</f>
        <v>744.23800000000006</v>
      </c>
      <c r="BV3">
        <f>Energy!R3</f>
        <v>119.43600000000001</v>
      </c>
      <c r="BX3">
        <f t="shared" ref="BX3:BX66" si="9">MOD(ROW()-2,6)*11+INT((ROW()-2)/6)+2</f>
        <v>13</v>
      </c>
      <c r="BY3" t="str" cm="1">
        <f t="array" ref="BY3">IF(MOD(ROW()-2,6)=2,INDEX(Energy!$F:$F,$BX3),"")</f>
        <v/>
      </c>
      <c r="BZ3" t="str" cm="1">
        <f t="array" ref="BZ3">INDEX(Energy!$B:$B,$BX3)</f>
        <v>2:4</v>
      </c>
      <c r="CA3" cm="1">
        <f t="array" ref="CA3">INDEX(Energy!$Q:$Q,$BX3)</f>
        <v>414.60199999999998</v>
      </c>
      <c r="CB3" cm="1">
        <f t="array" ref="CB3">INDEX(Energy!$R:$R,$BX3)</f>
        <v>69.518000000000001</v>
      </c>
      <c r="CE3" t="str" cm="1">
        <f t="array" ref="CE3">INDEX(Energy!$B:$B,$BX3)</f>
        <v>2:4</v>
      </c>
      <c r="CF3" cm="1">
        <f t="array" ref="CF3">INDEX(Energy!$N:$N,$BX3)</f>
        <v>108.68600000000001</v>
      </c>
      <c r="CG3" cm="1">
        <f t="array" ref="CG3">INDEX(Energy!$O:$O,$BX3)</f>
        <v>18.224</v>
      </c>
      <c r="CI3" t="str">
        <f>'Clock 300 vs 325'!A3</f>
        <v>2:4</v>
      </c>
      <c r="CJ3">
        <f>IF('Clock 300 vs 325'!H3="",NA(),'Clock 300 vs 325'!H3)</f>
        <v>137.19</v>
      </c>
      <c r="CK3">
        <f>IF('Clock 300 vs 325'!I3="",NA(),'Clock 300 vs 325'!I3)</f>
        <v>146.97</v>
      </c>
      <c r="CM3" t="str">
        <f>'Clock 300 vs 325'!A3</f>
        <v>2:4</v>
      </c>
      <c r="CN3">
        <f>IF('Clock 300 vs 325'!J3="",NA(),'Clock 300 vs 325'!J3)</f>
        <v>68.599999999999994</v>
      </c>
      <c r="CO3">
        <f>IF('Clock 300 vs 325'!K3="",NA(),'Clock 300 vs 325'!K3)</f>
        <v>73.48</v>
      </c>
      <c r="CQ3" t="str">
        <f>'Clock 300 vs 325'!A3</f>
        <v>2:4</v>
      </c>
      <c r="CR3">
        <f>IF('Clock 300 vs 325'!U3="",NA(),'Clock 300 vs 325'!U3)</f>
        <v>1.0881000000000001</v>
      </c>
      <c r="CS3">
        <f>'Clock 300 vs 325'!Q3</f>
        <v>1.0832999999999999</v>
      </c>
      <c r="CU3" t="str">
        <f>'Clock 300 vs 325'!A3</f>
        <v>2:4</v>
      </c>
      <c r="CV3">
        <f>IF('Clock 300 vs 325'!AA3="",NA(),'Clock 300 vs 325'!AA3)</f>
        <v>507.97399999999999</v>
      </c>
      <c r="CW3">
        <f>IF('Clock 300 vs 325'!AB3="",NA(),'Clock 300 vs 325'!AB3)</f>
        <v>474.11099999999999</v>
      </c>
      <c r="CY3" t="str">
        <f>'Shapes 325'!D3</f>
        <v>768x768</v>
      </c>
      <c r="CZ3">
        <f>'Shapes 325'!Q3</f>
        <v>79.84</v>
      </c>
      <c r="DA3">
        <f>'Shapes 325'!Q15</f>
        <v>80.37</v>
      </c>
      <c r="DB3">
        <f>'Shapes 325'!Q27</f>
        <v>80.52</v>
      </c>
      <c r="DC3">
        <f>'Shapes 325'!Q39</f>
        <v>78.81</v>
      </c>
      <c r="DD3">
        <f>'Shapes 325'!Q51</f>
        <v>78.010000000000005</v>
      </c>
      <c r="DF3" t="str">
        <f>'Shapes 325'!D3</f>
        <v>768x768</v>
      </c>
      <c r="DG3">
        <f>'Shapes 325'!M3</f>
        <v>14.7746</v>
      </c>
      <c r="DH3">
        <f>'Shapes 325'!M15</f>
        <v>7.3384999999999998</v>
      </c>
      <c r="DI3">
        <f>'Shapes 325'!M27</f>
        <v>3.6625999999999999</v>
      </c>
      <c r="DJ3">
        <f>'Shapes 325'!M39</f>
        <v>1.871</v>
      </c>
      <c r="DK3">
        <f>'Shapes 325'!M51</f>
        <v>0.94510000000000005</v>
      </c>
      <c r="DL3">
        <f>'Shapes 325'!M63</f>
        <v>3.4472</v>
      </c>
      <c r="DN3">
        <f t="shared" ref="DN3:DN66" si="10">MOD(ROW()-2,6)*11+INT((ROW()-2)/6)+2</f>
        <v>13</v>
      </c>
      <c r="DO3" t="str" cm="1">
        <f t="array" ref="DO3">IF(MOD(ROW()-2,6)=2,INDEX('Energy 325'!$F:$F,$DN3),"")</f>
        <v/>
      </c>
      <c r="DP3" t="str" cm="1">
        <f t="array" ref="DP3">INDEX('Energy 325'!$B:$B,$DN3)</f>
        <v>2:4</v>
      </c>
      <c r="DQ3" cm="1">
        <f t="array" ref="DQ3">INDEX('Energy 325'!$Q:$Q,$DN3)</f>
        <v>375.41699999999997</v>
      </c>
      <c r="DR3" cm="1">
        <f t="array" ref="DR3">INDEX('Energy 325'!$R:$R,$DN3)</f>
        <v>72.545000000000002</v>
      </c>
      <c r="DU3" t="str" cm="1">
        <f t="array" ref="DU3">INDEX('Energy 325'!$B:$B,$DN3)</f>
        <v>2:4</v>
      </c>
      <c r="DV3" cm="1">
        <f t="array" ref="DV3">INDEX('Energy 325'!$N:$N,$DN3)</f>
        <v>98.412999999999997</v>
      </c>
      <c r="DW3" cm="1">
        <f t="array" ref="DW3">INDEX('Energy 325'!$O:$O,$DN3)</f>
        <v>19.016999999999999</v>
      </c>
      <c r="DY3" t="str">
        <f>Serpens!C3</f>
        <v>G2 crankseg_2</v>
      </c>
      <c r="DZ3">
        <f>Serpens!K3</f>
        <v>2.351</v>
      </c>
      <c r="EA3">
        <f>Serpens!L3</f>
        <v>2.5569999999999999</v>
      </c>
      <c r="EB3">
        <v>1</v>
      </c>
      <c r="ED3" t="str">
        <f>Serpens!C3</f>
        <v>G2 crankseg_2</v>
      </c>
      <c r="EE3">
        <f>Serpens!M3</f>
        <v>0.53300000000000003</v>
      </c>
      <c r="EF3">
        <f>Serpens!N3</f>
        <v>0.96870000000000001</v>
      </c>
      <c r="EG3">
        <v>1</v>
      </c>
      <c r="EI3" t="str">
        <f>'Diagonal CxB64'!A3</f>
        <v>2x32</v>
      </c>
      <c r="EJ3">
        <f>'Diagonal CxB64'!K3</f>
        <v>434.8</v>
      </c>
      <c r="EL3" t="str">
        <f>'Diagonal CxB64'!A3</f>
        <v>2x32</v>
      </c>
      <c r="EM3">
        <f>'Diagonal CxB64'!M3</f>
        <v>72083</v>
      </c>
      <c r="EN3">
        <f>'Diagonal CxB64'!O3</f>
        <v>84163</v>
      </c>
      <c r="EO3">
        <f>'Diagonal CxB64'!K3</f>
        <v>434.8</v>
      </c>
      <c r="EP3">
        <f t="shared" ref="EP3:EP7" si="11">(ROW()-2)*3+2</f>
        <v>5</v>
      </c>
      <c r="EQ3" t="str" cm="1">
        <f t="array" ref="EQ3">INDEX('Family AllPoints'!$B:$B,$EP3)</f>
        <v>T=32</v>
      </c>
      <c r="ER3" cm="1">
        <f t="array" ref="ER3">INDEX('Family AllPoints'!$R:$R,$EP3)</f>
        <v>483.8</v>
      </c>
      <c r="ES3" cm="1">
        <f t="array" ref="ES3">INDEX('Family AllPoints'!$R:$R,$EP3+1)</f>
        <v>559.9</v>
      </c>
      <c r="ET3" cm="1">
        <f t="array" ref="ET3">INDEX('Family AllPoints'!$R:$R,$EP3+2)</f>
        <v>497.3</v>
      </c>
      <c r="EV3" t="str">
        <f>'Family Scaling'!B3</f>
        <v>T=32</v>
      </c>
      <c r="EW3">
        <f>'Family Scaling'!G3</f>
        <v>256</v>
      </c>
      <c r="EX3">
        <f>'Family Scaling'!H3</f>
        <v>10</v>
      </c>
      <c r="EZ3" t="str">
        <f>'Family Scaling'!B3</f>
        <v>T=32</v>
      </c>
      <c r="FA3">
        <f>'Family Scaling'!Z3</f>
        <v>3.58</v>
      </c>
      <c r="FB3">
        <f>'Family Scaling'!R3</f>
        <v>559.9</v>
      </c>
    </row>
    <row r="4" spans="1:158" x14ac:dyDescent="0.35">
      <c r="A4" t="str">
        <f>Shapes!C16</f>
        <v>G3</v>
      </c>
      <c r="B4">
        <f>Shapes!S16</f>
        <v>1.9512</v>
      </c>
      <c r="C4">
        <f>Shapes!S28</f>
        <v>3.8723999999999998</v>
      </c>
      <c r="D4">
        <f>Shapes!S40</f>
        <v>7.7714999999999996</v>
      </c>
      <c r="E4">
        <f>Shapes!S52</f>
        <v>15.5015</v>
      </c>
      <c r="G4" t="str">
        <f>'avg3 comparison'!C4</f>
        <v>2:8</v>
      </c>
      <c r="H4">
        <f>'avg3 comparison'!S4</f>
        <v>273.60000000000002</v>
      </c>
      <c r="I4">
        <f>'avg3 comparison'!S10</f>
        <v>293.44</v>
      </c>
      <c r="K4" t="str">
        <f>'avg3 comparison'!C4</f>
        <v>2:8</v>
      </c>
      <c r="L4">
        <f>'avg3 comparison'!G4</f>
        <v>1048576</v>
      </c>
      <c r="M4">
        <f>'avg3 comparison'!K4</f>
        <v>7849.0990000000002</v>
      </c>
      <c r="P4" t="str">
        <f>'avg3 comparison'!C4</f>
        <v>2:8</v>
      </c>
      <c r="Q4">
        <f>'avg3 comparison'!AG4</f>
        <v>0.1336</v>
      </c>
      <c r="R4">
        <f>'avg3 comparison'!Z4</f>
        <v>0.53439999999999999</v>
      </c>
      <c r="U4" t="str">
        <f>'avg3 comparison'!C4</f>
        <v>2:8</v>
      </c>
      <c r="V4">
        <f>'avg3 comparison'!AD4</f>
        <v>0.96030000000000004</v>
      </c>
      <c r="W4">
        <f>'avg3 comparison'!AD10</f>
        <v>0.95620000000000005</v>
      </c>
      <c r="Y4" t="str">
        <f>Master!C15</f>
        <v>2:8</v>
      </c>
      <c r="Z4">
        <f>Master!AD15</f>
        <v>253.7</v>
      </c>
      <c r="AA4">
        <f>Master!AD16</f>
        <v>236</v>
      </c>
      <c r="AC4" t="str">
        <f>Master!C15</f>
        <v>2:8</v>
      </c>
      <c r="AD4">
        <f>Master!W15</f>
        <v>35.326999999999998</v>
      </c>
      <c r="AN4" t="str">
        <f>Shapes!D4</f>
        <v>1024x1024</v>
      </c>
      <c r="AO4">
        <f>Shapes!Q4</f>
        <v>75.48</v>
      </c>
      <c r="AP4">
        <f>Shapes!Q16</f>
        <v>73.64</v>
      </c>
      <c r="AQ4">
        <f>Shapes!Q28</f>
        <v>73.069999999999993</v>
      </c>
      <c r="AR4">
        <f>Shapes!Q40</f>
        <v>73.319999999999993</v>
      </c>
      <c r="AS4">
        <f>Shapes!Q52</f>
        <v>73.13</v>
      </c>
      <c r="AT4">
        <f>Shapes!P4</f>
        <v>75.48</v>
      </c>
      <c r="AU4">
        <f>Shapes!P16</f>
        <v>147.27000000000001</v>
      </c>
      <c r="AV4">
        <f>Shapes!P28</f>
        <v>292.27999999999997</v>
      </c>
      <c r="AW4">
        <f>Shapes!P40</f>
        <v>586.58000000000004</v>
      </c>
      <c r="AX4">
        <f>Shapes!P52</f>
        <v>1170.03</v>
      </c>
      <c r="AY4">
        <f t="shared" si="1"/>
        <v>76.8</v>
      </c>
      <c r="BC4" t="str">
        <f t="shared" si="2"/>
        <v>1024x1024</v>
      </c>
      <c r="BD4">
        <f t="shared" si="3"/>
        <v>75.48</v>
      </c>
      <c r="BE4">
        <f t="shared" si="4"/>
        <v>73.64</v>
      </c>
      <c r="BF4">
        <f t="shared" si="5"/>
        <v>73.069999999999993</v>
      </c>
      <c r="BG4">
        <f t="shared" si="6"/>
        <v>73.319999999999993</v>
      </c>
      <c r="BH4">
        <f t="shared" si="7"/>
        <v>73.13</v>
      </c>
      <c r="BI4">
        <f t="shared" si="8"/>
        <v>76.8</v>
      </c>
      <c r="BK4" t="str">
        <f>Shapes!D4</f>
        <v>1024x1024</v>
      </c>
      <c r="BL4">
        <f>Shapes!M4</f>
        <v>27.784800000000001</v>
      </c>
      <c r="BM4">
        <f>Shapes!M16</f>
        <v>14.2399</v>
      </c>
      <c r="BN4">
        <f>Shapes!M28</f>
        <v>7.1749999999999998</v>
      </c>
      <c r="BO4">
        <f>Shapes!M40</f>
        <v>3.5752000000000002</v>
      </c>
      <c r="BP4">
        <f>Shapes!M52</f>
        <v>1.7924</v>
      </c>
      <c r="BQ4">
        <f>Shapes!M64</f>
        <v>6.4935</v>
      </c>
      <c r="BS4" t="str">
        <f>Energy!B4</f>
        <v>dense</v>
      </c>
      <c r="BT4" t="str">
        <f>Energy!F4</f>
        <v>1024x1024</v>
      </c>
      <c r="BU4">
        <f>Energy!Q4</f>
        <v>725.34699999999998</v>
      </c>
      <c r="BV4">
        <f>Energy!R4</f>
        <v>116.404</v>
      </c>
      <c r="BX4">
        <f t="shared" si="9"/>
        <v>24</v>
      </c>
      <c r="BY4" t="str" cm="1">
        <f t="array" ref="BY4">IF(MOD(ROW()-2,6)=2,INDEX(Energy!$F:$F,$BX4),"")</f>
        <v>512x512</v>
      </c>
      <c r="BZ4" t="str" cm="1">
        <f t="array" ref="BZ4">INDEX(Energy!$B:$B,$BX4)</f>
        <v>2:8</v>
      </c>
      <c r="CA4" cm="1">
        <f t="array" ref="CA4">INDEX(Energy!$Q:$Q,$BX4)</f>
        <v>212.12899999999999</v>
      </c>
      <c r="CB4" cm="1">
        <f t="array" ref="CB4">INDEX(Energy!$R:$R,$BX4)</f>
        <v>36.862000000000002</v>
      </c>
      <c r="CE4" t="str" cm="1">
        <f t="array" ref="CE4">INDEX(Energy!$B:$B,$BX4)</f>
        <v>2:8</v>
      </c>
      <c r="CF4" cm="1">
        <f t="array" ref="CF4">INDEX(Energy!$N:$N,$BX4)</f>
        <v>55.607999999999997</v>
      </c>
      <c r="CG4" cm="1">
        <f t="array" ref="CG4">INDEX(Energy!$O:$O,$BX4)</f>
        <v>9.6630000000000003</v>
      </c>
      <c r="CI4" t="str">
        <f>'Clock 300 vs 325'!A4</f>
        <v>2:8</v>
      </c>
      <c r="CJ4">
        <f>IF('Clock 300 vs 325'!H4="",NA(),'Clock 300 vs 325'!H4)</f>
        <v>273.60000000000002</v>
      </c>
      <c r="CK4">
        <f>IF('Clock 300 vs 325'!I4="",NA(),'Clock 300 vs 325'!I4)</f>
        <v>293.44</v>
      </c>
      <c r="CM4" t="str">
        <f>'Clock 300 vs 325'!A4</f>
        <v>2:8</v>
      </c>
      <c r="CN4">
        <f>IF('Clock 300 vs 325'!J4="",NA(),'Clock 300 vs 325'!J4)</f>
        <v>68.400000000000006</v>
      </c>
      <c r="CO4">
        <f>IF('Clock 300 vs 325'!K4="",NA(),'Clock 300 vs 325'!K4)</f>
        <v>73.36</v>
      </c>
      <c r="CQ4" t="str">
        <f>'Clock 300 vs 325'!A4</f>
        <v>2:8</v>
      </c>
      <c r="CR4">
        <f>IF('Clock 300 vs 325'!U4="",NA(),'Clock 300 vs 325'!U4)</f>
        <v>1.0788</v>
      </c>
      <c r="CS4">
        <f>'Clock 300 vs 325'!Q4</f>
        <v>1.0832999999999999</v>
      </c>
      <c r="CU4" t="str">
        <f>'Clock 300 vs 325'!A4</f>
        <v>2:8</v>
      </c>
      <c r="CV4">
        <f>IF('Clock 300 vs 325'!AA4="",NA(),'Clock 300 vs 325'!AA4)</f>
        <v>253.666</v>
      </c>
      <c r="CW4">
        <f>IF('Clock 300 vs 325'!AB4="",NA(),'Clock 300 vs 325'!AB4)</f>
        <v>235.97800000000001</v>
      </c>
      <c r="CY4" t="str">
        <f>'Shapes 325'!D4</f>
        <v>1024x1024</v>
      </c>
      <c r="CZ4">
        <f>'Shapes 325'!Q4</f>
        <v>80.180000000000007</v>
      </c>
      <c r="DA4">
        <f>'Shapes 325'!Q16</f>
        <v>80.069999999999993</v>
      </c>
      <c r="DB4">
        <f>'Shapes 325'!Q28</f>
        <v>80.540000000000006</v>
      </c>
      <c r="DC4">
        <f>'Shapes 325'!Q40</f>
        <v>79.19</v>
      </c>
      <c r="DD4">
        <f>'Shapes 325'!Q52</f>
        <v>78.900000000000006</v>
      </c>
      <c r="DF4" t="str">
        <f>'Shapes 325'!D4</f>
        <v>1024x1024</v>
      </c>
      <c r="DG4">
        <f>'Shapes 325'!M4</f>
        <v>26.155000000000001</v>
      </c>
      <c r="DH4">
        <f>'Shapes 325'!M16</f>
        <v>13.095000000000001</v>
      </c>
      <c r="DI4">
        <f>'Shapes 325'!M28</f>
        <v>6.5098000000000003</v>
      </c>
      <c r="DJ4">
        <f>'Shapes 325'!M40</f>
        <v>3.3102999999999998</v>
      </c>
      <c r="DK4">
        <f>'Shapes 325'!M52</f>
        <v>1.6613</v>
      </c>
      <c r="DL4">
        <f>'Shapes 325'!M64</f>
        <v>5.9927999999999999</v>
      </c>
      <c r="DN4">
        <f t="shared" si="10"/>
        <v>24</v>
      </c>
      <c r="DO4" t="str" cm="1">
        <f t="array" ref="DO4">IF(MOD(ROW()-2,6)=2,INDEX('Energy 325'!$F:$F,$DN4),"")</f>
        <v>512x512</v>
      </c>
      <c r="DP4" t="str" cm="1">
        <f t="array" ref="DP4">INDEX('Energy 325'!$B:$B,$DN4)</f>
        <v>2:8</v>
      </c>
      <c r="DQ4" cm="1">
        <f t="array" ref="DQ4">INDEX('Energy 325'!$Q:$Q,$DN4)</f>
        <v>190.631</v>
      </c>
      <c r="DR4" cm="1">
        <f t="array" ref="DR4">INDEX('Energy 325'!$R:$R,$DN4)</f>
        <v>33.418999999999997</v>
      </c>
      <c r="DU4" t="str" cm="1">
        <f t="array" ref="DU4">INDEX('Energy 325'!$B:$B,$DN4)</f>
        <v>2:8</v>
      </c>
      <c r="DV4" cm="1">
        <f t="array" ref="DV4">INDEX('Energy 325'!$N:$N,$DN4)</f>
        <v>49.972999999999999</v>
      </c>
      <c r="DW4" cm="1">
        <f t="array" ref="DW4">INDEX('Energy 325'!$O:$O,$DN4)</f>
        <v>8.7609999999999992</v>
      </c>
      <c r="DY4" t="str">
        <f>Serpens!C4</f>
        <v>G3 Si41Ge41H72</v>
      </c>
      <c r="DZ4">
        <f>Serpens!K4</f>
        <v>1.8560000000000001</v>
      </c>
      <c r="EA4">
        <f>Serpens!L4</f>
        <v>2.0190000000000001</v>
      </c>
      <c r="EB4">
        <v>1</v>
      </c>
      <c r="ED4" t="str">
        <f>Serpens!C4</f>
        <v>G3 Si41Ge41H72</v>
      </c>
      <c r="EE4">
        <f>Serpens!M4</f>
        <v>0.61639999999999995</v>
      </c>
      <c r="EF4">
        <f>Serpens!N4</f>
        <v>0.96870000000000001</v>
      </c>
      <c r="EG4">
        <v>1</v>
      </c>
      <c r="EI4" t="str">
        <f>'Diagonal CxB64'!A4</f>
        <v>4x16</v>
      </c>
      <c r="EJ4">
        <f>'Diagonal CxB64'!K4</f>
        <v>410.2</v>
      </c>
      <c r="EL4" t="str">
        <f>'Diagonal CxB64'!A4</f>
        <v>4x16</v>
      </c>
      <c r="EM4">
        <f>'Diagonal CxB64'!M4</f>
        <v>73137</v>
      </c>
      <c r="EN4">
        <f>'Diagonal CxB64'!O4</f>
        <v>85216</v>
      </c>
      <c r="EO4">
        <f>'Diagonal CxB64'!K4</f>
        <v>410.2</v>
      </c>
      <c r="EP4">
        <f t="shared" si="11"/>
        <v>8</v>
      </c>
      <c r="EQ4" t="str" cm="1">
        <f t="array" ref="EQ4">INDEX('Family AllPoints'!$B:$B,$EP4)</f>
        <v>T=48</v>
      </c>
      <c r="ER4" cm="1">
        <f t="array" ref="ER4">INDEX('Family AllPoints'!$R:$R,$EP4)</f>
        <v>485.7</v>
      </c>
      <c r="ES4" cm="1">
        <f t="array" ref="ES4">INDEX('Family AllPoints'!$R:$R,$EP4+1)</f>
        <v>464.5</v>
      </c>
      <c r="ET4" cm="1">
        <f t="array" ref="ET4">INDEX('Family AllPoints'!$R:$R,$EP4+2)</f>
        <v>501.8</v>
      </c>
      <c r="EV4" t="str">
        <f>'Family Scaling'!B4</f>
        <v>T=48</v>
      </c>
      <c r="EW4">
        <f>'Family Scaling'!G4</f>
        <v>384</v>
      </c>
      <c r="EX4">
        <f>'Family Scaling'!H4</f>
        <v>13</v>
      </c>
      <c r="EZ4" t="str">
        <f>'Family Scaling'!B4</f>
        <v>T=48</v>
      </c>
      <c r="FA4">
        <f>'Family Scaling'!Z4</f>
        <v>3.71</v>
      </c>
      <c r="FB4">
        <f>'Family Scaling'!R4</f>
        <v>501.8</v>
      </c>
    </row>
    <row r="5" spans="1:158" x14ac:dyDescent="0.35">
      <c r="A5" t="str">
        <f>Shapes!C17</f>
        <v>G4</v>
      </c>
      <c r="B5">
        <f>Shapes!S17</f>
        <v>1.9790000000000001</v>
      </c>
      <c r="C5">
        <f>Shapes!S29</f>
        <v>3.9333999999999998</v>
      </c>
      <c r="D5">
        <f>Shapes!S41</f>
        <v>7.8708</v>
      </c>
      <c r="E5">
        <f>Shapes!S53</f>
        <v>15.4823</v>
      </c>
      <c r="G5" t="str">
        <f>'avg3 comparison'!C5</f>
        <v>2:16</v>
      </c>
      <c r="H5">
        <f>'avg3 comparison'!S5</f>
        <v>542.91999999999996</v>
      </c>
      <c r="I5">
        <f>'avg3 comparison'!S11</f>
        <v>585.07000000000005</v>
      </c>
      <c r="K5" t="str">
        <f>'avg3 comparison'!C5</f>
        <v>2:16</v>
      </c>
      <c r="L5">
        <f>'avg3 comparison'!G5</f>
        <v>2097152</v>
      </c>
      <c r="M5">
        <f>'avg3 comparison'!K5</f>
        <v>7910.9</v>
      </c>
      <c r="P5" t="str">
        <f>'avg3 comparison'!C5</f>
        <v>2:16</v>
      </c>
      <c r="Q5">
        <f>'avg3 comparison'!AG5</f>
        <v>0.13250000000000001</v>
      </c>
      <c r="R5">
        <f>'avg3 comparison'!Z5</f>
        <v>1.0604</v>
      </c>
      <c r="U5" t="str">
        <f>'avg3 comparison'!C5</f>
        <v>2:16</v>
      </c>
      <c r="V5">
        <f>'avg3 comparison'!AD5</f>
        <v>0.95669999999999999</v>
      </c>
      <c r="W5">
        <f>'avg3 comparison'!AD11</f>
        <v>0.95779999999999998</v>
      </c>
      <c r="Y5" t="str">
        <f>Master!C17</f>
        <v>2:16</v>
      </c>
      <c r="Z5">
        <f>Master!AD17</f>
        <v>128.4</v>
      </c>
      <c r="AA5">
        <f>Master!AD18</f>
        <v>121.3</v>
      </c>
      <c r="AC5" t="str">
        <f>Master!C17</f>
        <v>2:16</v>
      </c>
      <c r="AD5">
        <f>Master!W17</f>
        <v>35.412999999999997</v>
      </c>
      <c r="AF5" s="6" t="s">
        <v>181</v>
      </c>
      <c r="AG5" s="6">
        <f>SUM(AG2:AK2)</f>
        <v>7417.2</v>
      </c>
      <c r="AN5" t="str">
        <f>Shapes!D5</f>
        <v>3072x768</v>
      </c>
      <c r="AO5">
        <f>Shapes!Q5</f>
        <v>74.52</v>
      </c>
      <c r="AP5">
        <f>Shapes!Q17</f>
        <v>73.739999999999995</v>
      </c>
      <c r="AQ5">
        <f>Shapes!Q29</f>
        <v>73.28</v>
      </c>
      <c r="AR5">
        <f>Shapes!Q41</f>
        <v>73.319999999999993</v>
      </c>
      <c r="AS5">
        <f>Shapes!Q53</f>
        <v>72.11</v>
      </c>
      <c r="AT5">
        <f>Shapes!P5</f>
        <v>74.52</v>
      </c>
      <c r="AU5">
        <f>Shapes!P17</f>
        <v>147.47999999999999</v>
      </c>
      <c r="AV5">
        <f>Shapes!P29</f>
        <v>293.12</v>
      </c>
      <c r="AW5">
        <f>Shapes!P41</f>
        <v>586.54999999999995</v>
      </c>
      <c r="AX5">
        <f>Shapes!P53</f>
        <v>1153.79</v>
      </c>
      <c r="AY5">
        <f t="shared" si="1"/>
        <v>76.8</v>
      </c>
      <c r="BC5" t="str">
        <f t="shared" si="2"/>
        <v>3072x768</v>
      </c>
      <c r="BD5">
        <f t="shared" si="3"/>
        <v>74.52</v>
      </c>
      <c r="BE5">
        <f t="shared" si="4"/>
        <v>73.739999999999995</v>
      </c>
      <c r="BF5">
        <f t="shared" si="5"/>
        <v>73.28</v>
      </c>
      <c r="BG5">
        <f t="shared" si="6"/>
        <v>73.319999999999993</v>
      </c>
      <c r="BH5">
        <f t="shared" si="7"/>
        <v>72.11</v>
      </c>
      <c r="BI5">
        <f t="shared" si="8"/>
        <v>76.8</v>
      </c>
      <c r="BK5" t="str">
        <f>Shapes!D5</f>
        <v>3072x768</v>
      </c>
      <c r="BL5">
        <f>Shapes!M5</f>
        <v>63.317900000000002</v>
      </c>
      <c r="BM5">
        <f>Shapes!M17</f>
        <v>31.994599999999998</v>
      </c>
      <c r="BN5">
        <f>Shapes!M29</f>
        <v>16.0976</v>
      </c>
      <c r="BO5">
        <f>Shapes!M41</f>
        <v>8.0447000000000006</v>
      </c>
      <c r="BP5">
        <f>Shapes!M53</f>
        <v>4.0896999999999997</v>
      </c>
      <c r="BQ5">
        <f>Shapes!M65</f>
        <v>14.7399</v>
      </c>
      <c r="BS5" t="str">
        <f>Energy!B5</f>
        <v>dense</v>
      </c>
      <c r="BT5" t="str">
        <f>Energy!F5</f>
        <v>3072x768</v>
      </c>
      <c r="BU5">
        <f>Energy!Q5</f>
        <v>734.65300000000002</v>
      </c>
      <c r="BV5">
        <f>Energy!R5</f>
        <v>117.898</v>
      </c>
      <c r="BX5">
        <f t="shared" si="9"/>
        <v>35</v>
      </c>
      <c r="BY5" t="str" cm="1">
        <f t="array" ref="BY5">IF(MOD(ROW()-2,6)=2,INDEX(Energy!$F:$F,$BX5),"")</f>
        <v/>
      </c>
      <c r="BZ5" t="str" cm="1">
        <f t="array" ref="BZ5">INDEX(Energy!$B:$B,$BX5)</f>
        <v>2:16</v>
      </c>
      <c r="CA5" cm="1">
        <f t="array" ref="CA5">INDEX(Energy!$Q:$Q,$BX5)</f>
        <v>105.71899999999999</v>
      </c>
      <c r="CB5" cm="1">
        <f t="array" ref="CB5">INDEX(Energy!$R:$R,$BX5)</f>
        <v>19.074999999999999</v>
      </c>
      <c r="CE5" t="str" cm="1">
        <f t="array" ref="CE5">INDEX(Energy!$B:$B,$BX5)</f>
        <v>2:16</v>
      </c>
      <c r="CF5" cm="1">
        <f t="array" ref="CF5">INDEX(Energy!$N:$N,$BX5)</f>
        <v>27.713999999999999</v>
      </c>
      <c r="CG5" cm="1">
        <f t="array" ref="CG5">INDEX(Energy!$O:$O,$BX5)</f>
        <v>5.0010000000000003</v>
      </c>
      <c r="CI5" t="str">
        <f>'Clock 300 vs 325'!A5</f>
        <v>2:16</v>
      </c>
      <c r="CJ5">
        <f>IF('Clock 300 vs 325'!H5="",NA(),'Clock 300 vs 325'!H5)</f>
        <v>542.91999999999996</v>
      </c>
      <c r="CK5">
        <f>IF('Clock 300 vs 325'!I5="",NA(),'Clock 300 vs 325'!I5)</f>
        <v>585.07000000000005</v>
      </c>
      <c r="CM5" t="str">
        <f>'Clock 300 vs 325'!A5</f>
        <v>2:16</v>
      </c>
      <c r="CN5">
        <f>IF('Clock 300 vs 325'!J5="",NA(),'Clock 300 vs 325'!J5)</f>
        <v>67.86</v>
      </c>
      <c r="CO5">
        <f>IF('Clock 300 vs 325'!K5="",NA(),'Clock 300 vs 325'!K5)</f>
        <v>73.13</v>
      </c>
      <c r="CQ5" t="str">
        <f>'Clock 300 vs 325'!A5</f>
        <v>2:16</v>
      </c>
      <c r="CR5">
        <f>IF('Clock 300 vs 325'!U5="",NA(),'Clock 300 vs 325'!U5)</f>
        <v>1.0783</v>
      </c>
      <c r="CS5">
        <f>'Clock 300 vs 325'!Q5</f>
        <v>1.0832999999999999</v>
      </c>
      <c r="CU5" t="str">
        <f>'Clock 300 vs 325'!A5</f>
        <v>2:16</v>
      </c>
      <c r="CV5">
        <f>IF('Clock 300 vs 325'!AA5="",NA(),'Clock 300 vs 325'!AA5)</f>
        <v>128.37100000000001</v>
      </c>
      <c r="CW5">
        <f>IF('Clock 300 vs 325'!AB5="",NA(),'Clock 300 vs 325'!AB5)</f>
        <v>121.31</v>
      </c>
      <c r="CY5" t="str">
        <f>'Shapes 325'!D5</f>
        <v>3072x768</v>
      </c>
      <c r="CZ5">
        <f>'Shapes 325'!Q5</f>
        <v>79.760000000000005</v>
      </c>
      <c r="DA5">
        <f>'Shapes 325'!Q17</f>
        <v>80.180000000000007</v>
      </c>
      <c r="DB5">
        <f>'Shapes 325'!Q29</f>
        <v>79.930000000000007</v>
      </c>
      <c r="DC5">
        <f>'Shapes 325'!Q41</f>
        <v>79.62</v>
      </c>
      <c r="DD5">
        <f>'Shapes 325'!Q53</f>
        <v>78.010000000000005</v>
      </c>
      <c r="DF5" t="str">
        <f>'Shapes 325'!D5</f>
        <v>3072x768</v>
      </c>
      <c r="DG5">
        <f>'Shapes 325'!M5</f>
        <v>59.161200000000001</v>
      </c>
      <c r="DH5">
        <f>'Shapes 325'!M17</f>
        <v>29.4236</v>
      </c>
      <c r="DI5">
        <f>'Shapes 325'!M29</f>
        <v>14.759</v>
      </c>
      <c r="DJ5">
        <f>'Shapes 325'!M41</f>
        <v>7.4077999999999999</v>
      </c>
      <c r="DK5">
        <f>'Shapes 325'!M53</f>
        <v>3.7804000000000002</v>
      </c>
      <c r="DL5">
        <f>'Shapes 325'!M65</f>
        <v>13.815899999999999</v>
      </c>
      <c r="DN5">
        <f t="shared" si="10"/>
        <v>35</v>
      </c>
      <c r="DO5" t="str" cm="1">
        <f t="array" ref="DO5">IF(MOD(ROW()-2,6)=2,INDEX('Energy 325'!$F:$F,$DN5),"")</f>
        <v/>
      </c>
      <c r="DP5" t="str" cm="1">
        <f t="array" ref="DP5">INDEX('Energy 325'!$B:$B,$DN5)</f>
        <v>2:16</v>
      </c>
      <c r="DQ5" cm="1">
        <f t="array" ref="DQ5">INDEX('Energy 325'!$Q:$Q,$DN5)</f>
        <v>96.003</v>
      </c>
      <c r="DR5" cm="1">
        <f t="array" ref="DR5">INDEX('Energy 325'!$R:$R,$DN5)</f>
        <v>18.701000000000001</v>
      </c>
      <c r="DU5" t="str" cm="1">
        <f t="array" ref="DU5">INDEX('Energy 325'!$B:$B,$DN5)</f>
        <v>2:16</v>
      </c>
      <c r="DV5" cm="1">
        <f t="array" ref="DV5">INDEX('Energy 325'!$N:$N,$DN5)</f>
        <v>25.166</v>
      </c>
      <c r="DW5" cm="1">
        <f t="array" ref="DW5">INDEX('Energy 325'!$O:$O,$DN5)</f>
        <v>4.9020000000000001</v>
      </c>
      <c r="DY5" t="str">
        <f>Serpens!C5</f>
        <v>G4 TSOPF_RS_b2383</v>
      </c>
      <c r="DZ5">
        <f>Serpens!K5</f>
        <v>1.631</v>
      </c>
      <c r="EA5">
        <f>Serpens!L5</f>
        <v>1.774</v>
      </c>
      <c r="EB5">
        <v>1</v>
      </c>
      <c r="ED5" t="str">
        <f>Serpens!C5</f>
        <v>G4 TSOPF_RS_b2383</v>
      </c>
      <c r="EE5">
        <f>Serpens!M5</f>
        <v>0.77580000000000005</v>
      </c>
      <c r="EF5">
        <f>Serpens!N5</f>
        <v>0.96870000000000001</v>
      </c>
      <c r="EG5">
        <v>1</v>
      </c>
      <c r="EI5" t="str">
        <f>'Diagonal CxB64'!A5</f>
        <v>8x8</v>
      </c>
      <c r="EJ5">
        <f>'Diagonal CxB64'!K5</f>
        <v>443.5</v>
      </c>
      <c r="EL5" t="str">
        <f>'Diagonal CxB64'!A5</f>
        <v>8x8</v>
      </c>
      <c r="EM5">
        <f>'Diagonal CxB64'!M5</f>
        <v>75168</v>
      </c>
      <c r="EN5">
        <f>'Diagonal CxB64'!O5</f>
        <v>87181</v>
      </c>
      <c r="EO5">
        <f>'Diagonal CxB64'!K5</f>
        <v>443.5</v>
      </c>
      <c r="EP5">
        <f t="shared" si="11"/>
        <v>11</v>
      </c>
      <c r="EQ5" t="str" cm="1">
        <f t="array" ref="EQ5">INDEX('Family AllPoints'!$B:$B,$EP5)</f>
        <v>T=64</v>
      </c>
      <c r="ER5" cm="1">
        <f t="array" ref="ER5">INDEX('Family AllPoints'!$R:$R,$EP5)</f>
        <v>448.2</v>
      </c>
      <c r="ES5" cm="1">
        <f t="array" ref="ES5">INDEX('Family AllPoints'!$R:$R,$EP5+1)</f>
        <v>448.6</v>
      </c>
      <c r="ET5" cm="1">
        <f t="array" ref="ET5">INDEX('Family AllPoints'!$R:$R,$EP5+2)</f>
        <v>384.3</v>
      </c>
      <c r="EV5" t="str">
        <f>'Family Scaling'!B5</f>
        <v>T=64</v>
      </c>
      <c r="EW5">
        <f>'Family Scaling'!G5</f>
        <v>512</v>
      </c>
      <c r="EX5">
        <f>'Family Scaling'!H5</f>
        <v>17</v>
      </c>
      <c r="EZ5" t="str">
        <f>'Family Scaling'!B5</f>
        <v>T=64</v>
      </c>
      <c r="FA5">
        <f>'Family Scaling'!Z5</f>
        <v>3.38</v>
      </c>
      <c r="FB5">
        <f>'Family Scaling'!R5</f>
        <v>448.6</v>
      </c>
    </row>
    <row r="6" spans="1:158" x14ac:dyDescent="0.35">
      <c r="A6" t="str">
        <f>Shapes!C18</f>
        <v>G5</v>
      </c>
      <c r="B6">
        <f>Shapes!S18</f>
        <v>2.0023</v>
      </c>
      <c r="C6">
        <f>Shapes!S30</f>
        <v>4.0072999999999999</v>
      </c>
      <c r="D6">
        <f>Shapes!S42</f>
        <v>8.0741999999999994</v>
      </c>
      <c r="E6">
        <f>Shapes!S54</f>
        <v>16.191600000000001</v>
      </c>
      <c r="G6" t="str">
        <f>'avg3 comparison'!C6</f>
        <v>2:32</v>
      </c>
      <c r="H6">
        <f>'avg3 comparison'!S6</f>
        <v>1073.04</v>
      </c>
      <c r="I6">
        <f>'avg3 comparison'!S12</f>
        <v>1143.51</v>
      </c>
      <c r="K6" t="str">
        <f>'avg3 comparison'!C6</f>
        <v>2:32</v>
      </c>
      <c r="L6">
        <f>'avg3 comparison'!G6</f>
        <v>4194304</v>
      </c>
      <c r="M6">
        <f>'avg3 comparison'!K6</f>
        <v>8005.26</v>
      </c>
      <c r="P6" t="str">
        <f>'avg3 comparison'!C6</f>
        <v>2:32</v>
      </c>
      <c r="Q6">
        <f>'avg3 comparison'!AG6</f>
        <v>0.13100000000000001</v>
      </c>
      <c r="R6">
        <f>'avg3 comparison'!Z6</f>
        <v>2.0958000000000001</v>
      </c>
      <c r="U6" t="str">
        <f>'avg3 comparison'!C6</f>
        <v>2:32</v>
      </c>
      <c r="V6">
        <f>'avg3 comparison'!AD6</f>
        <v>0.95499999999999996</v>
      </c>
      <c r="W6">
        <f>'avg3 comparison'!AD12</f>
        <v>0.94530000000000003</v>
      </c>
      <c r="Y6" t="str">
        <f>Master!C19</f>
        <v>2:32</v>
      </c>
      <c r="Z6">
        <f>Master!AD19</f>
        <v>65.099999999999994</v>
      </c>
      <c r="AA6">
        <f>Master!AD20</f>
        <v>61.4</v>
      </c>
      <c r="AC6" t="str">
        <f>Master!C19</f>
        <v>2:32</v>
      </c>
      <c r="AD6">
        <f>Master!W19</f>
        <v>35.521000000000001</v>
      </c>
      <c r="AN6" t="str">
        <f>Shapes!D6</f>
        <v>768x3072</v>
      </c>
      <c r="AO6">
        <f>Shapes!Q6</f>
        <v>73.94</v>
      </c>
      <c r="AP6">
        <f>Shapes!Q18</f>
        <v>74.03</v>
      </c>
      <c r="AQ6">
        <f>Shapes!Q30</f>
        <v>74.08</v>
      </c>
      <c r="AR6">
        <f>Shapes!Q42</f>
        <v>74.63</v>
      </c>
      <c r="AS6">
        <f>Shapes!Q54</f>
        <v>74.83</v>
      </c>
      <c r="AT6">
        <f>Shapes!P6</f>
        <v>73.94</v>
      </c>
      <c r="AU6">
        <f>Shapes!P18</f>
        <v>148.06</v>
      </c>
      <c r="AV6">
        <f>Shapes!P30</f>
        <v>296.31</v>
      </c>
      <c r="AW6">
        <f>Shapes!P42</f>
        <v>597.04</v>
      </c>
      <c r="AX6">
        <f>Shapes!P54</f>
        <v>1197.28</v>
      </c>
      <c r="AY6">
        <f t="shared" si="1"/>
        <v>76.8</v>
      </c>
      <c r="BC6" t="str">
        <f t="shared" si="2"/>
        <v>768x3072</v>
      </c>
      <c r="BD6">
        <f t="shared" si="3"/>
        <v>73.94</v>
      </c>
      <c r="BE6">
        <f t="shared" si="4"/>
        <v>74.03</v>
      </c>
      <c r="BF6">
        <f t="shared" si="5"/>
        <v>74.08</v>
      </c>
      <c r="BG6">
        <f t="shared" si="6"/>
        <v>74.63</v>
      </c>
      <c r="BH6">
        <f t="shared" si="7"/>
        <v>74.83</v>
      </c>
      <c r="BI6">
        <f t="shared" si="8"/>
        <v>76.8</v>
      </c>
      <c r="BK6" t="str">
        <f>Shapes!D6</f>
        <v>768x3072</v>
      </c>
      <c r="BL6">
        <f>Shapes!M6</f>
        <v>63.812800000000003</v>
      </c>
      <c r="BM6">
        <f>Shapes!M18</f>
        <v>31.870200000000001</v>
      </c>
      <c r="BN6">
        <f>Shapes!M30</f>
        <v>15.924300000000001</v>
      </c>
      <c r="BO6">
        <f>Shapes!M42</f>
        <v>7.9032999999999998</v>
      </c>
      <c r="BP6">
        <f>Shapes!M54</f>
        <v>3.9411</v>
      </c>
      <c r="BQ6">
        <f>Shapes!M66</f>
        <v>14.71</v>
      </c>
      <c r="BS6" t="str">
        <f>Energy!B6</f>
        <v>dense</v>
      </c>
      <c r="BT6" t="str">
        <f>Energy!F6</f>
        <v>768x3072</v>
      </c>
      <c r="BU6">
        <f>Energy!Q6</f>
        <v>740.39499999999998</v>
      </c>
      <c r="BV6">
        <f>Energy!R6</f>
        <v>118.819</v>
      </c>
      <c r="BX6">
        <f t="shared" si="9"/>
        <v>46</v>
      </c>
      <c r="BY6" t="str" cm="1">
        <f t="array" ref="BY6">IF(MOD(ROW()-2,6)=2,INDEX(Energy!$F:$F,$BX6),"")</f>
        <v/>
      </c>
      <c r="BZ6" t="str" cm="1">
        <f t="array" ref="BZ6">INDEX(Energy!$B:$B,$BX6)</f>
        <v>2:32</v>
      </c>
      <c r="CA6" cm="1">
        <f t="array" ref="CA6">INDEX(Energy!$Q:$Q,$BX6)</f>
        <v>54.13</v>
      </c>
      <c r="CB6" cm="1">
        <f t="array" ref="CB6">INDEX(Energy!$R:$R,$BX6)</f>
        <v>9.6460000000000008</v>
      </c>
      <c r="CE6" t="str" cm="1">
        <f t="array" ref="CE6">INDEX(Energy!$B:$B,$BX6)</f>
        <v>2:32</v>
      </c>
      <c r="CF6" cm="1">
        <f t="array" ref="CF6">INDEX(Energy!$N:$N,$BX6)</f>
        <v>14.19</v>
      </c>
      <c r="CG6" cm="1">
        <f t="array" ref="CG6">INDEX(Energy!$O:$O,$BX6)</f>
        <v>2.5289999999999999</v>
      </c>
      <c r="CI6" t="str">
        <f>'Clock 300 vs 325'!A6</f>
        <v>2:32</v>
      </c>
      <c r="CJ6">
        <f>IF('Clock 300 vs 325'!H6="",NA(),'Clock 300 vs 325'!H6)</f>
        <v>1073.04</v>
      </c>
      <c r="CK6">
        <f>IF('Clock 300 vs 325'!I6="",NA(),'Clock 300 vs 325'!I6)</f>
        <v>1143.51</v>
      </c>
      <c r="CM6" t="str">
        <f>'Clock 300 vs 325'!A6</f>
        <v>2:32</v>
      </c>
      <c r="CN6">
        <f>IF('Clock 300 vs 325'!J6="",NA(),'Clock 300 vs 325'!J6)</f>
        <v>67.06</v>
      </c>
      <c r="CO6">
        <f>IF('Clock 300 vs 325'!K6="",NA(),'Clock 300 vs 325'!K6)</f>
        <v>71.47</v>
      </c>
      <c r="CQ6" t="str">
        <f>'Clock 300 vs 325'!A6</f>
        <v>2:32</v>
      </c>
      <c r="CR6">
        <f>IF('Clock 300 vs 325'!U6="",NA(),'Clock 300 vs 325'!U6)</f>
        <v>1.0843</v>
      </c>
      <c r="CS6">
        <f>'Clock 300 vs 325'!Q6</f>
        <v>1.0832999999999999</v>
      </c>
      <c r="CU6" t="str">
        <f>'Clock 300 vs 325'!A6</f>
        <v>2:32</v>
      </c>
      <c r="CV6">
        <f>IF('Clock 300 vs 325'!AA6="",NA(),'Clock 300 vs 325'!AA6)</f>
        <v>65.126000000000005</v>
      </c>
      <c r="CW6">
        <f>IF('Clock 300 vs 325'!AB6="",NA(),'Clock 300 vs 325'!AB6)</f>
        <v>61.447000000000003</v>
      </c>
      <c r="CY6" t="str">
        <f>'Shapes 325'!D6</f>
        <v>768x3072</v>
      </c>
      <c r="CZ6">
        <f>'Shapes 325'!Q6</f>
        <v>79.64</v>
      </c>
      <c r="DA6">
        <f>'Shapes 325'!Q18</f>
        <v>81.28</v>
      </c>
      <c r="DB6">
        <f>'Shapes 325'!Q30</f>
        <v>79.84</v>
      </c>
      <c r="DC6">
        <f>'Shapes 325'!Q42</f>
        <v>79.709999999999994</v>
      </c>
      <c r="DD6">
        <f>'Shapes 325'!Q54</f>
        <v>80.319999999999993</v>
      </c>
      <c r="DF6" t="str">
        <f>'Shapes 325'!D6</f>
        <v>768x3072</v>
      </c>
      <c r="DG6">
        <f>'Shapes 325'!M6</f>
        <v>59.247300000000003</v>
      </c>
      <c r="DH6">
        <f>'Shapes 325'!M18</f>
        <v>29.0261</v>
      </c>
      <c r="DI6">
        <f>'Shapes 325'!M30</f>
        <v>14.7753</v>
      </c>
      <c r="DJ6">
        <f>'Shapes 325'!M42</f>
        <v>7.3992000000000004</v>
      </c>
      <c r="DK6">
        <f>'Shapes 325'!M54</f>
        <v>3.6716000000000002</v>
      </c>
      <c r="DL6">
        <f>'Shapes 325'!M66</f>
        <v>13.8325</v>
      </c>
      <c r="DN6">
        <f t="shared" si="10"/>
        <v>46</v>
      </c>
      <c r="DO6" t="str" cm="1">
        <f t="array" ref="DO6">IF(MOD(ROW()-2,6)=2,INDEX('Energy 325'!$F:$F,$DN6),"")</f>
        <v/>
      </c>
      <c r="DP6" t="str" cm="1">
        <f t="array" ref="DP6">INDEX('Energy 325'!$B:$B,$DN6)</f>
        <v>2:32</v>
      </c>
      <c r="DQ6" cm="1">
        <f t="array" ref="DQ6">INDEX('Energy 325'!$Q:$Q,$DN6)</f>
        <v>49.576000000000001</v>
      </c>
      <c r="DR6" cm="1">
        <f t="array" ref="DR6">INDEX('Energy 325'!$R:$R,$DN6)</f>
        <v>9.8089999999999993</v>
      </c>
      <c r="DU6" t="str" cm="1">
        <f t="array" ref="DU6">INDEX('Energy 325'!$B:$B,$DN6)</f>
        <v>2:32</v>
      </c>
      <c r="DV6" cm="1">
        <f t="array" ref="DV6">INDEX('Energy 325'!$N:$N,$DN6)</f>
        <v>12.996</v>
      </c>
      <c r="DW6" cm="1">
        <f t="array" ref="DW6">INDEX('Energy 325'!$O:$O,$DN6)</f>
        <v>2.5710000000000002</v>
      </c>
      <c r="DY6" t="str">
        <f>Serpens!C6</f>
        <v>G5 ML_Laplace</v>
      </c>
      <c r="DZ6">
        <f>Serpens!K6</f>
        <v>1.5649999999999999</v>
      </c>
      <c r="EA6">
        <f>Serpens!L6</f>
        <v>1.7030000000000001</v>
      </c>
      <c r="EB6">
        <v>1</v>
      </c>
      <c r="ED6" t="str">
        <f>Serpens!C6</f>
        <v>G5 ML_Laplace</v>
      </c>
      <c r="EE6">
        <f>Serpens!M6</f>
        <v>0.70409999999999995</v>
      </c>
      <c r="EF6">
        <f>Serpens!N6</f>
        <v>0.96870000000000001</v>
      </c>
      <c r="EG6">
        <v>1</v>
      </c>
      <c r="EI6" t="str">
        <f>'Diagonal CxB64'!A6</f>
        <v>16x4</v>
      </c>
      <c r="EJ6">
        <f>'Diagonal CxB64'!K6</f>
        <v>417.5</v>
      </c>
      <c r="EL6" t="str">
        <f>'Diagonal CxB64'!A6</f>
        <v>16x4</v>
      </c>
      <c r="EM6">
        <f>'Diagonal CxB64'!M6</f>
        <v>79303</v>
      </c>
      <c r="EN6">
        <f>'Diagonal CxB64'!O6</f>
        <v>87239</v>
      </c>
      <c r="EO6">
        <f>'Diagonal CxB64'!K6</f>
        <v>417.5</v>
      </c>
      <c r="EP6">
        <f t="shared" si="11"/>
        <v>14</v>
      </c>
      <c r="EQ6" t="str" cm="1">
        <f t="array" ref="EQ6">INDEX('Family AllPoints'!$B:$B,$EP6)</f>
        <v>T=96</v>
      </c>
      <c r="ER6" cm="1">
        <f t="array" ref="ER6">INDEX('Family AllPoints'!$R:$R,$EP6)</f>
        <v>407.3</v>
      </c>
      <c r="ES6" cm="1">
        <f t="array" ref="ES6">INDEX('Family AllPoints'!$R:$R,$EP6+1)</f>
        <v>358.3</v>
      </c>
      <c r="ET6" cm="1">
        <f t="array" ref="ET6">INDEX('Family AllPoints'!$R:$R,$EP6+2)</f>
        <v>378.1</v>
      </c>
      <c r="EV6" t="str">
        <f>'Family Scaling'!B6</f>
        <v>T=96</v>
      </c>
      <c r="EW6">
        <f>'Family Scaling'!G6</f>
        <v>768</v>
      </c>
      <c r="EX6">
        <f>'Family Scaling'!H6</f>
        <v>24</v>
      </c>
      <c r="EZ6" t="str">
        <f>'Family Scaling'!B6</f>
        <v>T=96</v>
      </c>
      <c r="FA6">
        <f>'Family Scaling'!Z6</f>
        <v>3.26</v>
      </c>
      <c r="FB6">
        <f>'Family Scaling'!R6</f>
        <v>407.3</v>
      </c>
    </row>
    <row r="7" spans="1:158" x14ac:dyDescent="0.35">
      <c r="A7" t="str">
        <f>Shapes!C19</f>
        <v>G6</v>
      </c>
      <c r="B7">
        <f>Shapes!S19</f>
        <v>2.0194999999999999</v>
      </c>
      <c r="C7">
        <f>Shapes!S31</f>
        <v>3.9889000000000001</v>
      </c>
      <c r="D7">
        <f>Shapes!S43</f>
        <v>7.9565999999999999</v>
      </c>
      <c r="E7">
        <f>Shapes!S55</f>
        <v>15.760300000000001</v>
      </c>
      <c r="G7" t="str">
        <f>'avg3 comparison'!C7</f>
        <v>MIXED</v>
      </c>
      <c r="H7">
        <f>'avg3 comparison'!S7</f>
        <v>288.45</v>
      </c>
      <c r="I7">
        <f>'avg3 comparison'!S13</f>
        <v>310.43</v>
      </c>
      <c r="P7" t="str">
        <f>'avg3 comparison'!C7</f>
        <v>MIXED</v>
      </c>
      <c r="Q7">
        <f>'avg3 comparison'!AG7</f>
        <v>0.1321</v>
      </c>
      <c r="R7">
        <f>'avg3 comparison'!Z7</f>
        <v>0.56340000000000001</v>
      </c>
      <c r="U7" t="str">
        <f>'avg3 comparison'!C7</f>
        <v>MIXED</v>
      </c>
      <c r="V7">
        <f>'avg3 comparison'!AD7</f>
        <v>0.96930000000000005</v>
      </c>
      <c r="W7">
        <f>'avg3 comparison'!AD13</f>
        <v>0.97040000000000004</v>
      </c>
      <c r="AN7" t="str">
        <f>Shapes!D7</f>
        <v>4096x1024</v>
      </c>
      <c r="AO7">
        <f>Shapes!Q7</f>
        <v>73.849999999999994</v>
      </c>
      <c r="AP7">
        <f>Shapes!Q19</f>
        <v>74.569999999999993</v>
      </c>
      <c r="AQ7">
        <f>Shapes!Q31</f>
        <v>73.64</v>
      </c>
      <c r="AR7">
        <f>Shapes!Q43</f>
        <v>73.45</v>
      </c>
      <c r="AS7">
        <f>Shapes!Q55</f>
        <v>72.739999999999995</v>
      </c>
      <c r="AT7">
        <f>Shapes!P7</f>
        <v>73.849999999999994</v>
      </c>
      <c r="AU7">
        <f>Shapes!P19</f>
        <v>149.13</v>
      </c>
      <c r="AV7">
        <f>Shapes!P31</f>
        <v>294.57</v>
      </c>
      <c r="AW7">
        <f>Shapes!P43</f>
        <v>587.58000000000004</v>
      </c>
      <c r="AX7">
        <f>Shapes!P55</f>
        <v>1163.8599999999999</v>
      </c>
      <c r="AY7">
        <f t="shared" si="1"/>
        <v>76.8</v>
      </c>
      <c r="BC7" t="str">
        <f t="shared" si="2"/>
        <v>4096x1024</v>
      </c>
      <c r="BD7">
        <f t="shared" si="3"/>
        <v>73.849999999999994</v>
      </c>
      <c r="BE7">
        <f t="shared" si="4"/>
        <v>74.569999999999993</v>
      </c>
      <c r="BF7">
        <f t="shared" si="5"/>
        <v>73.64</v>
      </c>
      <c r="BG7">
        <f t="shared" si="6"/>
        <v>73.45</v>
      </c>
      <c r="BH7">
        <f t="shared" si="7"/>
        <v>72.739999999999995</v>
      </c>
      <c r="BI7">
        <f t="shared" si="8"/>
        <v>76.8</v>
      </c>
      <c r="BK7" t="str">
        <f>Shapes!D7</f>
        <v>4096x1024</v>
      </c>
      <c r="BL7">
        <f>Shapes!M7</f>
        <v>113.5937</v>
      </c>
      <c r="BM7">
        <f>Shapes!M19</f>
        <v>56.248699999999999</v>
      </c>
      <c r="BN7">
        <f>Shapes!M31</f>
        <v>28.4773</v>
      </c>
      <c r="BO7">
        <f>Shapes!M43</f>
        <v>14.2766</v>
      </c>
      <c r="BP7">
        <f>Shapes!M55</f>
        <v>7.2076000000000002</v>
      </c>
      <c r="BQ7">
        <f>Shapes!M67</f>
        <v>26.3139</v>
      </c>
      <c r="BS7" t="str">
        <f>Energy!B7</f>
        <v>dense</v>
      </c>
      <c r="BT7" t="str">
        <f>Energy!F7</f>
        <v>4096x1024</v>
      </c>
      <c r="BU7">
        <f>Energy!Q7</f>
        <v>741.36599999999999</v>
      </c>
      <c r="BV7">
        <f>Energy!R7</f>
        <v>118.97499999999999</v>
      </c>
      <c r="BX7">
        <f t="shared" si="9"/>
        <v>57</v>
      </c>
      <c r="BY7" t="str" cm="1">
        <f t="array" ref="BY7">IF(MOD(ROW()-2,6)=2,INDEX(Energy!$F:$F,$BX7),"")</f>
        <v/>
      </c>
      <c r="BZ7" t="str" cm="1">
        <f t="array" ref="BZ7">INDEX(Energy!$B:$B,$BX7)</f>
        <v>MIXED</v>
      </c>
      <c r="CA7" cm="1">
        <f t="array" ref="CA7">INDEX(Energy!$Q:$Q,$BX7)</f>
        <v>191.559</v>
      </c>
      <c r="CB7" cm="1">
        <f t="array" ref="CB7">INDEX(Energy!$R:$R,$BX7)</f>
        <v>36.340000000000003</v>
      </c>
      <c r="CE7" t="str" cm="1">
        <f t="array" ref="CE7">INDEX(Energy!$B:$B,$BX7)</f>
        <v>MIXED</v>
      </c>
      <c r="CF7" cm="1">
        <f t="array" ref="CF7">INDEX(Energy!$N:$N,$BX7)</f>
        <v>50.216000000000001</v>
      </c>
      <c r="CG7" cm="1">
        <f t="array" ref="CG7">INDEX(Energy!$O:$O,$BX7)</f>
        <v>9.5259999999999998</v>
      </c>
      <c r="CI7" t="str">
        <f>'Clock 300 vs 325'!A7</f>
        <v>MIXED</v>
      </c>
      <c r="CJ7">
        <f>IF('Clock 300 vs 325'!H7="",NA(),'Clock 300 vs 325'!H7)</f>
        <v>288.45</v>
      </c>
      <c r="CK7">
        <f>IF('Clock 300 vs 325'!I7="",NA(),'Clock 300 vs 325'!I7)</f>
        <v>310.43</v>
      </c>
      <c r="CM7" t="str">
        <f>'Clock 300 vs 325'!A7</f>
        <v>MIXED</v>
      </c>
      <c r="CN7">
        <f>IF('Clock 300 vs 325'!J7="",NA(),'Clock 300 vs 325'!J7)</f>
        <v>67.61</v>
      </c>
      <c r="CO7">
        <f>IF('Clock 300 vs 325'!K7="",NA(),'Clock 300 vs 325'!K7)</f>
        <v>72.760000000000005</v>
      </c>
      <c r="CQ7" t="str">
        <f>'Clock 300 vs 325'!A7</f>
        <v>MIXED</v>
      </c>
      <c r="CR7">
        <f>IF('Clock 300 vs 325'!U7="",NA(),'Clock 300 vs 325'!U7)</f>
        <v>1.0657000000000001</v>
      </c>
      <c r="CS7">
        <f>'Clock 300 vs 325'!Q7</f>
        <v>1.0832999999999999</v>
      </c>
      <c r="CU7" t="str">
        <f>'Clock 300 vs 325'!A7</f>
        <v>MIXED</v>
      </c>
      <c r="CV7">
        <f>IF('Clock 300 vs 325'!AA7="",NA(),'Clock 300 vs 325'!AA7)</f>
        <v>236.75800000000001</v>
      </c>
      <c r="CW7">
        <f>IF('Clock 300 vs 325'!AB7="",NA(),'Clock 300 vs 325'!AB7)</f>
        <v>224.809</v>
      </c>
      <c r="CY7" t="str">
        <f>'Shapes 325'!D7</f>
        <v>4096x1024</v>
      </c>
      <c r="CZ7">
        <f>'Shapes 325'!Q7</f>
        <v>79.84</v>
      </c>
      <c r="DA7">
        <f>'Shapes 325'!Q19</f>
        <v>80.56</v>
      </c>
      <c r="DB7">
        <f>'Shapes 325'!Q31</f>
        <v>79.510000000000005</v>
      </c>
      <c r="DC7">
        <f>'Shapes 325'!Q43</f>
        <v>79.94</v>
      </c>
      <c r="DD7">
        <f>'Shapes 325'!Q55</f>
        <v>78.790000000000006</v>
      </c>
      <c r="DF7" t="str">
        <f>'Shapes 325'!D7</f>
        <v>4096x1024</v>
      </c>
      <c r="DG7">
        <f>'Shapes 325'!M7</f>
        <v>105.0663</v>
      </c>
      <c r="DH7">
        <f>'Shapes 325'!M19</f>
        <v>52.066499999999998</v>
      </c>
      <c r="DI7">
        <f>'Shapes 325'!M31</f>
        <v>26.375299999999999</v>
      </c>
      <c r="DJ7">
        <f>'Shapes 325'!M43</f>
        <v>13.117000000000001</v>
      </c>
      <c r="DK7">
        <f>'Shapes 325'!M55</f>
        <v>6.6542000000000003</v>
      </c>
      <c r="DL7">
        <f>'Shapes 325'!M67</f>
        <v>24.3049</v>
      </c>
      <c r="DN7">
        <f t="shared" si="10"/>
        <v>57</v>
      </c>
      <c r="DO7" t="str" cm="1">
        <f t="array" ref="DO7">IF(MOD(ROW()-2,6)=2,INDEX('Energy 325'!$F:$F,$DN7),"")</f>
        <v/>
      </c>
      <c r="DP7" t="str" cm="1">
        <f t="array" ref="DP7">INDEX('Energy 325'!$B:$B,$DN7)</f>
        <v>MIXED</v>
      </c>
      <c r="DQ7" cm="1">
        <f t="array" ref="DQ7">INDEX('Energy 325'!$Q:$Q,$DN7)</f>
        <v>176.30600000000001</v>
      </c>
      <c r="DR7" cm="1">
        <f t="array" ref="DR7">INDEX('Energy 325'!$R:$R,$DN7)</f>
        <v>31.870999999999999</v>
      </c>
      <c r="DU7" t="str" cm="1">
        <f t="array" ref="DU7">INDEX('Energy 325'!$B:$B,$DN7)</f>
        <v>MIXED</v>
      </c>
      <c r="DV7" cm="1">
        <f t="array" ref="DV7">INDEX('Energy 325'!$N:$N,$DN7)</f>
        <v>46.218000000000004</v>
      </c>
      <c r="DW7" cm="1">
        <f t="array" ref="DW7">INDEX('Energy 325'!$O:$O,$DN7)</f>
        <v>8.3550000000000004</v>
      </c>
      <c r="DY7" t="str">
        <f>Serpens!C7</f>
        <v>G6 mouse_gene</v>
      </c>
      <c r="DZ7">
        <f>Serpens!K7</f>
        <v>1.7310000000000001</v>
      </c>
      <c r="EA7">
        <f>Serpens!L7</f>
        <v>1.8819999999999999</v>
      </c>
      <c r="EB7">
        <v>1</v>
      </c>
      <c r="ED7" t="str">
        <f>Serpens!C7</f>
        <v>G6 mouse_gene</v>
      </c>
      <c r="EE7">
        <f>Serpens!M7</f>
        <v>0.73909999999999998</v>
      </c>
      <c r="EF7">
        <f>Serpens!N7</f>
        <v>0.96870000000000001</v>
      </c>
      <c r="EG7">
        <v>1</v>
      </c>
      <c r="EI7" t="str">
        <f>'Diagonal CxB64'!A7</f>
        <v>32x2</v>
      </c>
      <c r="EJ7">
        <f>'Diagonal CxB64'!K7</f>
        <v>397.6</v>
      </c>
      <c r="EL7" t="str">
        <f>'Diagonal CxB64'!A7</f>
        <v>32x2</v>
      </c>
      <c r="EM7">
        <f>'Diagonal CxB64'!M7</f>
        <v>87643</v>
      </c>
      <c r="EN7">
        <f>'Diagonal CxB64'!O7</f>
        <v>95603</v>
      </c>
      <c r="EO7">
        <f>'Diagonal CxB64'!K7</f>
        <v>397.6</v>
      </c>
      <c r="EP7">
        <f t="shared" si="11"/>
        <v>17</v>
      </c>
      <c r="EQ7" t="str" cm="1">
        <f t="array" ref="EQ7">INDEX('Family AllPoints'!$B:$B,$EP7)</f>
        <v>T=128</v>
      </c>
      <c r="ER7" cm="1">
        <f t="array" ref="ER7">INDEX('Family AllPoints'!$R:$R,$EP7)</f>
        <v>355.4</v>
      </c>
      <c r="ES7" cm="1">
        <f t="array" ref="ES7">INDEX('Family AllPoints'!$R:$R,$EP7+1)</f>
        <v>345.2</v>
      </c>
      <c r="ET7" cm="1">
        <f t="array" ref="ET7">INDEX('Family AllPoints'!$R:$R,$EP7+2)</f>
        <v>352.2</v>
      </c>
      <c r="EV7" t="str">
        <f>'Family Scaling'!B7</f>
        <v>T=128</v>
      </c>
      <c r="EW7">
        <f>'Family Scaling'!G7</f>
        <v>1024</v>
      </c>
      <c r="EX7">
        <f>'Family Scaling'!H7</f>
        <v>32</v>
      </c>
      <c r="EZ7" t="str">
        <f>'Family Scaling'!B7</f>
        <v>T=128</v>
      </c>
      <c r="FA7">
        <f>'Family Scaling'!Z7</f>
        <v>2.84</v>
      </c>
      <c r="FB7">
        <f>'Family Scaling'!R7</f>
        <v>355.4</v>
      </c>
    </row>
    <row r="8" spans="1:158" x14ac:dyDescent="0.35">
      <c r="A8" t="str">
        <f>Shapes!C20</f>
        <v>G7</v>
      </c>
      <c r="B8">
        <f>Shapes!S20</f>
        <v>1.9978</v>
      </c>
      <c r="C8">
        <f>Shapes!S32</f>
        <v>3.9828999999999999</v>
      </c>
      <c r="D8">
        <f>Shapes!S44</f>
        <v>7.9751000000000003</v>
      </c>
      <c r="E8">
        <f>Shapes!S56</f>
        <v>16.0367</v>
      </c>
      <c r="AN8" t="str">
        <f>Shapes!D8</f>
        <v>1024x4096</v>
      </c>
      <c r="AO8">
        <f>Shapes!Q8</f>
        <v>74.2</v>
      </c>
      <c r="AP8">
        <f>Shapes!Q20</f>
        <v>74.12</v>
      </c>
      <c r="AQ8">
        <f>Shapes!Q32</f>
        <v>73.88</v>
      </c>
      <c r="AR8">
        <f>Shapes!Q44</f>
        <v>73.97</v>
      </c>
      <c r="AS8">
        <f>Shapes!Q56</f>
        <v>74.37</v>
      </c>
      <c r="AT8">
        <f>Shapes!P8</f>
        <v>74.2</v>
      </c>
      <c r="AU8">
        <f>Shapes!P20</f>
        <v>148.22999999999999</v>
      </c>
      <c r="AV8">
        <f>Shapes!P32</f>
        <v>295.52</v>
      </c>
      <c r="AW8">
        <f>Shapes!P44</f>
        <v>591.73</v>
      </c>
      <c r="AX8">
        <f>Shapes!P56</f>
        <v>1189.8699999999999</v>
      </c>
      <c r="AY8">
        <f t="shared" si="1"/>
        <v>76.8</v>
      </c>
      <c r="BC8" t="str">
        <f t="shared" si="2"/>
        <v>1024x4096</v>
      </c>
      <c r="BD8">
        <f t="shared" si="3"/>
        <v>74.2</v>
      </c>
      <c r="BE8">
        <f t="shared" si="4"/>
        <v>74.12</v>
      </c>
      <c r="BF8">
        <f t="shared" si="5"/>
        <v>73.88</v>
      </c>
      <c r="BG8">
        <f t="shared" si="6"/>
        <v>73.97</v>
      </c>
      <c r="BH8">
        <f t="shared" si="7"/>
        <v>74.37</v>
      </c>
      <c r="BI8">
        <f t="shared" si="8"/>
        <v>76.8</v>
      </c>
      <c r="BK8" t="str">
        <f>Shapes!D8</f>
        <v>1024x4096</v>
      </c>
      <c r="BL8">
        <f>Shapes!M8</f>
        <v>113.0586</v>
      </c>
      <c r="BM8">
        <f>Shapes!M20</f>
        <v>56.590200000000003</v>
      </c>
      <c r="BN8">
        <f>Shapes!M32</f>
        <v>28.385899999999999</v>
      </c>
      <c r="BO8">
        <f>Shapes!M44</f>
        <v>14.176500000000001</v>
      </c>
      <c r="BP8">
        <f>Shapes!M56</f>
        <v>7.05</v>
      </c>
      <c r="BQ8">
        <f>Shapes!M68</f>
        <v>26.0928</v>
      </c>
      <c r="BS8" t="str">
        <f>Energy!B8</f>
        <v>dense</v>
      </c>
      <c r="BT8" t="str">
        <f>Energy!F8</f>
        <v>1024x4096</v>
      </c>
      <c r="BU8">
        <f>Energy!Q8</f>
        <v>737.87400000000002</v>
      </c>
      <c r="BV8">
        <f>Energy!R8</f>
        <v>118.41500000000001</v>
      </c>
      <c r="BX8">
        <f t="shared" si="9"/>
        <v>3</v>
      </c>
      <c r="BY8" t="str" cm="1">
        <f t="array" ref="BY8">IF(MOD(ROW()-2,6)=2,INDEX(Energy!$F:$F,$BX8),"")</f>
        <v/>
      </c>
      <c r="BZ8" t="str" cm="1">
        <f t="array" ref="BZ8">INDEX(Energy!$B:$B,$BX8)</f>
        <v>dense</v>
      </c>
      <c r="CA8" cm="1">
        <f t="array" ref="CA8">INDEX(Energy!$Q:$Q,$BX8)</f>
        <v>744.23800000000006</v>
      </c>
      <c r="CB8" cm="1">
        <f t="array" ref="CB8">INDEX(Energy!$R:$R,$BX8)</f>
        <v>119.43600000000001</v>
      </c>
      <c r="CD8" t="s">
        <v>69</v>
      </c>
      <c r="CE8" t="str" cm="1">
        <f t="array" ref="CE8">INDEX(Energy!$B:$B,$BX8)</f>
        <v>dense</v>
      </c>
      <c r="CF8" cm="1">
        <f t="array" ref="CF8">INDEX(Energy!$N:$N,$BX8)</f>
        <v>438.96899999999999</v>
      </c>
      <c r="CG8" cm="1">
        <f t="array" ref="CG8">INDEX(Energy!$O:$O,$BX8)</f>
        <v>70.445999999999998</v>
      </c>
      <c r="CY8" t="str">
        <f>'Shapes 325'!D8</f>
        <v>1024x4096</v>
      </c>
      <c r="CZ8">
        <f>'Shapes 325'!Q8</f>
        <v>79.760000000000005</v>
      </c>
      <c r="DA8">
        <f>'Shapes 325'!Q20</f>
        <v>80.52</v>
      </c>
      <c r="DB8">
        <f>'Shapes 325'!Q32</f>
        <v>80.13</v>
      </c>
      <c r="DC8">
        <f>'Shapes 325'!Q44</f>
        <v>81.599999999999994</v>
      </c>
      <c r="DD8">
        <f>'Shapes 325'!Q56</f>
        <v>81.42</v>
      </c>
      <c r="DF8" t="str">
        <f>'Shapes 325'!D8</f>
        <v>1024x4096</v>
      </c>
      <c r="DG8">
        <f>'Shapes 325'!M8</f>
        <v>105.1784</v>
      </c>
      <c r="DH8">
        <f>'Shapes 325'!M20</f>
        <v>52.087800000000001</v>
      </c>
      <c r="DI8">
        <f>'Shapes 325'!M32</f>
        <v>26.171299999999999</v>
      </c>
      <c r="DJ8">
        <f>'Shapes 325'!M44</f>
        <v>12.850099999999999</v>
      </c>
      <c r="DK8">
        <f>'Shapes 325'!M56</f>
        <v>6.4390000000000001</v>
      </c>
      <c r="DL8">
        <f>'Shapes 325'!M68</f>
        <v>24.102799999999998</v>
      </c>
      <c r="DN8">
        <f t="shared" si="10"/>
        <v>3</v>
      </c>
      <c r="DO8" t="str" cm="1">
        <f t="array" ref="DO8">IF(MOD(ROW()-2,6)=2,INDEX('Energy 325'!$F:$F,$DN8),"")</f>
        <v/>
      </c>
      <c r="DP8" t="str" cm="1">
        <f t="array" ref="DP8">INDEX('Energy 325'!$B:$B,$DN8)</f>
        <v>dense</v>
      </c>
      <c r="DQ8" cm="1">
        <f t="array" ref="DQ8">INDEX('Energy 325'!$Q:$Q,$DN8)</f>
        <v>678.25599999999997</v>
      </c>
      <c r="DR8" cm="1">
        <f t="array" ref="DR8">INDEX('Energy 325'!$R:$R,$DN8)</f>
        <v>116.40300000000001</v>
      </c>
      <c r="DT8" t="s">
        <v>69</v>
      </c>
      <c r="DU8" t="str" cm="1">
        <f t="array" ref="DU8">INDEX('Energy 325'!$B:$B,$DN8)</f>
        <v>dense</v>
      </c>
      <c r="DV8" cm="1">
        <f t="array" ref="DV8">INDEX('Energy 325'!$N:$N,$DN8)</f>
        <v>400.05200000000002</v>
      </c>
      <c r="DW8" cm="1">
        <f t="array" ref="DW8">INDEX('Energy 325'!$O:$O,$DN8)</f>
        <v>68.658000000000001</v>
      </c>
      <c r="DY8" t="str">
        <f>Serpens!C8</f>
        <v>G7 soc_pokec</v>
      </c>
      <c r="DZ8">
        <f>Serpens!K8</f>
        <v>4.3760000000000003</v>
      </c>
      <c r="EA8">
        <f>Serpens!L8</f>
        <v>4.76</v>
      </c>
      <c r="EB8">
        <v>1</v>
      </c>
      <c r="ED8" t="str">
        <f>Serpens!C8</f>
        <v>G7 soc_pokec</v>
      </c>
      <c r="EE8">
        <f>Serpens!M8</f>
        <v>0.23760000000000001</v>
      </c>
      <c r="EF8">
        <f>Serpens!N8</f>
        <v>0.96870000000000001</v>
      </c>
      <c r="EG8">
        <v>1</v>
      </c>
      <c r="EI8" t="str">
        <f>'Diagonal CxB64'!A8</f>
        <v>64x1</v>
      </c>
      <c r="EJ8">
        <f>'Diagonal CxB64'!K8</f>
        <v>376.9</v>
      </c>
      <c r="EL8" t="str">
        <f>'Diagonal CxB64'!A8</f>
        <v>64x1</v>
      </c>
      <c r="EM8">
        <f>'Diagonal CxB64'!M8</f>
        <v>104041</v>
      </c>
      <c r="EN8">
        <f>'Diagonal CxB64'!O8</f>
        <v>112043</v>
      </c>
      <c r="EO8">
        <f>'Diagonal CxB64'!K8</f>
        <v>376.9</v>
      </c>
    </row>
    <row r="9" spans="1:158" x14ac:dyDescent="0.35">
      <c r="A9" t="str">
        <f>Shapes!C21</f>
        <v>G8</v>
      </c>
      <c r="B9">
        <f>Shapes!S21</f>
        <v>1.9745999999999999</v>
      </c>
      <c r="C9">
        <f>Shapes!S33</f>
        <v>3.9630000000000001</v>
      </c>
      <c r="D9">
        <f>Shapes!S45</f>
        <v>8.0017999999999994</v>
      </c>
      <c r="E9">
        <f>Shapes!S57</f>
        <v>15.825799999999999</v>
      </c>
      <c r="G9" s="5" t="s">
        <v>161</v>
      </c>
      <c r="K9" s="5" t="s">
        <v>164</v>
      </c>
      <c r="P9" s="5" t="s">
        <v>167</v>
      </c>
      <c r="U9" s="5" t="s">
        <v>168</v>
      </c>
      <c r="Y9" s="5" t="s">
        <v>169</v>
      </c>
      <c r="AC9" s="5" t="s">
        <v>171</v>
      </c>
      <c r="AF9" s="5" t="s">
        <v>182</v>
      </c>
      <c r="AN9" t="str">
        <f>Shapes!D9</f>
        <v>2048x2048</v>
      </c>
      <c r="AO9">
        <f>Shapes!Q9</f>
        <v>74.45</v>
      </c>
      <c r="AP9">
        <f>Shapes!Q21</f>
        <v>73.510000000000005</v>
      </c>
      <c r="AQ9">
        <f>Shapes!Q33</f>
        <v>73.77</v>
      </c>
      <c r="AR9">
        <f>Shapes!Q45</f>
        <v>74.47</v>
      </c>
      <c r="AS9">
        <f>Shapes!Q57</f>
        <v>73.64</v>
      </c>
      <c r="AT9">
        <f>Shapes!P9</f>
        <v>74.45</v>
      </c>
      <c r="AU9">
        <f>Shapes!P21</f>
        <v>147.02000000000001</v>
      </c>
      <c r="AV9">
        <f>Shapes!P33</f>
        <v>295.06</v>
      </c>
      <c r="AW9">
        <f>Shapes!P45</f>
        <v>595.76</v>
      </c>
      <c r="AX9">
        <f>Shapes!P57</f>
        <v>1178.3</v>
      </c>
      <c r="AY9">
        <f t="shared" si="1"/>
        <v>76.8</v>
      </c>
      <c r="BC9" t="str">
        <f t="shared" si="2"/>
        <v>2048x2048</v>
      </c>
      <c r="BD9">
        <f t="shared" si="3"/>
        <v>74.45</v>
      </c>
      <c r="BE9">
        <f t="shared" si="4"/>
        <v>73.510000000000005</v>
      </c>
      <c r="BF9">
        <f t="shared" si="5"/>
        <v>73.77</v>
      </c>
      <c r="BG9">
        <f t="shared" si="6"/>
        <v>74.47</v>
      </c>
      <c r="BH9">
        <f t="shared" si="7"/>
        <v>73.64</v>
      </c>
      <c r="BI9">
        <f t="shared" si="8"/>
        <v>76.8</v>
      </c>
      <c r="BK9" t="str">
        <f>Shapes!D9</f>
        <v>2048x2048</v>
      </c>
      <c r="BL9">
        <f>Shapes!M9</f>
        <v>112.6688</v>
      </c>
      <c r="BM9">
        <f>Shapes!M21</f>
        <v>57.058</v>
      </c>
      <c r="BN9">
        <f>Shapes!M33</f>
        <v>28.4299</v>
      </c>
      <c r="BO9">
        <f>Shapes!M45</f>
        <v>14.080399999999999</v>
      </c>
      <c r="BP9">
        <f>Shapes!M57</f>
        <v>7.1193</v>
      </c>
      <c r="BQ9">
        <f>Shapes!M69</f>
        <v>26.226600000000001</v>
      </c>
      <c r="BS9" t="str">
        <f>Energy!B9</f>
        <v>dense</v>
      </c>
      <c r="BT9" t="str">
        <f>Energy!F9</f>
        <v>2048x2048</v>
      </c>
      <c r="BU9">
        <f>Energy!Q9</f>
        <v>735.33</v>
      </c>
      <c r="BV9">
        <f>Energy!R9</f>
        <v>118.006</v>
      </c>
      <c r="BX9">
        <f t="shared" si="9"/>
        <v>14</v>
      </c>
      <c r="BY9" t="str" cm="1">
        <f t="array" ref="BY9">IF(MOD(ROW()-2,6)=2,INDEX(Energy!$F:$F,$BX9),"")</f>
        <v/>
      </c>
      <c r="BZ9" t="str" cm="1">
        <f t="array" ref="BZ9">INDEX(Energy!$B:$B,$BX9)</f>
        <v>2:4</v>
      </c>
      <c r="CA9" cm="1">
        <f t="array" ref="CA9">INDEX(Energy!$Q:$Q,$BX9)</f>
        <v>411.76299999999998</v>
      </c>
      <c r="CB9" cm="1">
        <f t="array" ref="CB9">INDEX(Energy!$R:$R,$BX9)</f>
        <v>69.042000000000002</v>
      </c>
      <c r="CE9" t="str" cm="1">
        <f t="array" ref="CE9">INDEX(Energy!$B:$B,$BX9)</f>
        <v>2:4</v>
      </c>
      <c r="CF9" cm="1">
        <f t="array" ref="CF9">INDEX(Energy!$N:$N,$BX9)</f>
        <v>242.86799999999999</v>
      </c>
      <c r="CG9" cm="1">
        <f t="array" ref="CG9">INDEX(Energy!$O:$O,$BX9)</f>
        <v>40.722999999999999</v>
      </c>
      <c r="CY9" t="str">
        <f>'Shapes 325'!D9</f>
        <v>2048x2048</v>
      </c>
      <c r="CZ9">
        <f>'Shapes 325'!Q9</f>
        <v>79.75</v>
      </c>
      <c r="DA9">
        <f>'Shapes 325'!Q21</f>
        <v>80.680000000000007</v>
      </c>
      <c r="DB9">
        <f>'Shapes 325'!Q33</f>
        <v>80.28</v>
      </c>
      <c r="DC9">
        <f>'Shapes 325'!Q45</f>
        <v>80.180000000000007</v>
      </c>
      <c r="DD9">
        <f>'Shapes 325'!Q57</f>
        <v>80.59</v>
      </c>
      <c r="DF9" t="str">
        <f>'Shapes 325'!D9</f>
        <v>2048x2048</v>
      </c>
      <c r="DG9">
        <f>'Shapes 325'!M9</f>
        <v>105.1802</v>
      </c>
      <c r="DH9">
        <f>'Shapes 325'!M21</f>
        <v>51.990099999999998</v>
      </c>
      <c r="DI9">
        <f>'Shapes 325'!M33</f>
        <v>26.1236</v>
      </c>
      <c r="DJ9">
        <f>'Shapes 325'!M45</f>
        <v>13.077400000000001</v>
      </c>
      <c r="DK9">
        <f>'Shapes 325'!M57</f>
        <v>6.5060000000000002</v>
      </c>
      <c r="DL9">
        <f>'Shapes 325'!M69</f>
        <v>24.3017</v>
      </c>
      <c r="DN9">
        <f t="shared" si="10"/>
        <v>14</v>
      </c>
      <c r="DO9" t="str" cm="1">
        <f t="array" ref="DO9">IF(MOD(ROW()-2,6)=2,INDEX('Energy 325'!$F:$F,$DN9),"")</f>
        <v/>
      </c>
      <c r="DP9" t="str" cm="1">
        <f t="array" ref="DP9">INDEX('Energy 325'!$B:$B,$DN9)</f>
        <v>2:4</v>
      </c>
      <c r="DQ9" cm="1">
        <f t="array" ref="DQ9">INDEX('Energy 325'!$Q:$Q,$DN9)</f>
        <v>375.30799999999999</v>
      </c>
      <c r="DR9" cm="1">
        <f t="array" ref="DR9">INDEX('Energy 325'!$R:$R,$DN9)</f>
        <v>72.524000000000001</v>
      </c>
      <c r="DU9" t="str" cm="1">
        <f t="array" ref="DU9">INDEX('Energy 325'!$B:$B,$DN9)</f>
        <v>2:4</v>
      </c>
      <c r="DV9" cm="1">
        <f t="array" ref="DV9">INDEX('Energy 325'!$N:$N,$DN9)</f>
        <v>221.36600000000001</v>
      </c>
      <c r="DW9" cm="1">
        <f t="array" ref="DW9">INDEX('Energy 325'!$O:$O,$DN9)</f>
        <v>42.776000000000003</v>
      </c>
      <c r="DY9" t="str">
        <f>Serpens!C9</f>
        <v>G8 coPapersCiteseer</v>
      </c>
      <c r="DZ9">
        <f>Serpens!K9</f>
        <v>2.145</v>
      </c>
      <c r="EA9">
        <f>Serpens!L9</f>
        <v>2.3330000000000002</v>
      </c>
      <c r="EB9">
        <v>1</v>
      </c>
      <c r="ED9" t="str">
        <f>Serpens!C9</f>
        <v>G8 coPapersCiteseer</v>
      </c>
      <c r="EE9">
        <f>Serpens!M9</f>
        <v>0.53690000000000004</v>
      </c>
      <c r="EF9">
        <f>Serpens!N9</f>
        <v>0.96870000000000001</v>
      </c>
      <c r="EG9">
        <v>1</v>
      </c>
    </row>
    <row r="10" spans="1:158" x14ac:dyDescent="0.35">
      <c r="A10" t="str">
        <f>Shapes!C22</f>
        <v>G9</v>
      </c>
      <c r="B10">
        <f>Shapes!S22</f>
        <v>2.0206</v>
      </c>
      <c r="C10">
        <f>Shapes!S34</f>
        <v>3.9729000000000001</v>
      </c>
      <c r="D10">
        <f>Shapes!S46</f>
        <v>7.9962999999999997</v>
      </c>
      <c r="E10">
        <f>Shapes!S58</f>
        <v>16.005600000000001</v>
      </c>
      <c r="AN10" t="str">
        <f>Shapes!D10</f>
        <v>4096x4096</v>
      </c>
      <c r="AO10">
        <f>Shapes!Q10</f>
        <v>74.17</v>
      </c>
      <c r="AP10">
        <f>Shapes!Q22</f>
        <v>74.930000000000007</v>
      </c>
      <c r="AQ10">
        <f>Shapes!Q34</f>
        <v>73.66</v>
      </c>
      <c r="AR10">
        <f>Shapes!Q46</f>
        <v>74.13</v>
      </c>
      <c r="AS10">
        <f>Shapes!Q58</f>
        <v>74.19</v>
      </c>
      <c r="AT10">
        <f>Shapes!P10</f>
        <v>74.17</v>
      </c>
      <c r="AU10">
        <f>Shapes!P22</f>
        <v>149.86000000000001</v>
      </c>
      <c r="AV10">
        <f>Shapes!P34</f>
        <v>294.66000000000003</v>
      </c>
      <c r="AW10">
        <f>Shapes!P46</f>
        <v>593.05999999999995</v>
      </c>
      <c r="AX10">
        <f>Shapes!P58</f>
        <v>1187.08</v>
      </c>
      <c r="AY10">
        <f t="shared" si="1"/>
        <v>76.8</v>
      </c>
      <c r="BC10" t="str">
        <f t="shared" si="2"/>
        <v>4096x4096</v>
      </c>
      <c r="BD10">
        <f t="shared" si="3"/>
        <v>74.17</v>
      </c>
      <c r="BE10">
        <f t="shared" si="4"/>
        <v>74.930000000000007</v>
      </c>
      <c r="BF10">
        <f t="shared" si="5"/>
        <v>73.66</v>
      </c>
      <c r="BG10">
        <f t="shared" si="6"/>
        <v>74.13</v>
      </c>
      <c r="BH10">
        <f t="shared" si="7"/>
        <v>74.19</v>
      </c>
      <c r="BI10">
        <f t="shared" si="8"/>
        <v>76.8</v>
      </c>
      <c r="BK10" t="str">
        <f>Shapes!D10</f>
        <v>4096x4096</v>
      </c>
      <c r="BL10">
        <f>Shapes!M10</f>
        <v>452.42020000000002</v>
      </c>
      <c r="BM10">
        <f>Shapes!M22</f>
        <v>223.9066</v>
      </c>
      <c r="BN10">
        <f>Shapes!M34</f>
        <v>113.87560000000001</v>
      </c>
      <c r="BO10">
        <f>Shapes!M46</f>
        <v>56.578699999999998</v>
      </c>
      <c r="BP10">
        <f>Shapes!M58</f>
        <v>28.266400000000001</v>
      </c>
      <c r="BQ10">
        <f>Shapes!M70</f>
        <v>104.3351</v>
      </c>
      <c r="BS10" t="str">
        <f>Energy!B10</f>
        <v>dense</v>
      </c>
      <c r="BT10" t="str">
        <f>Energy!F10</f>
        <v>4096x4096</v>
      </c>
      <c r="BU10">
        <f>Energy!Q10</f>
        <v>738.17700000000002</v>
      </c>
      <c r="BV10">
        <f>Energy!R10</f>
        <v>118.46299999999999</v>
      </c>
      <c r="BX10">
        <f t="shared" si="9"/>
        <v>25</v>
      </c>
      <c r="BY10" t="str" cm="1">
        <f t="array" ref="BY10">IF(MOD(ROW()-2,6)=2,INDEX(Energy!$F:$F,$BX10),"")</f>
        <v>768x768</v>
      </c>
      <c r="BZ10" t="str" cm="1">
        <f t="array" ref="BZ10">INDEX(Energy!$B:$B,$BX10)</f>
        <v>2:8</v>
      </c>
      <c r="CA10" cm="1">
        <f t="array" ref="CA10">INDEX(Energy!$Q:$Q,$BX10)</f>
        <v>209.4</v>
      </c>
      <c r="CB10" cm="1">
        <f t="array" ref="CB10">INDEX(Energy!$R:$R,$BX10)</f>
        <v>36.387999999999998</v>
      </c>
      <c r="CE10" t="str" cm="1">
        <f t="array" ref="CE10">INDEX(Energy!$B:$B,$BX10)</f>
        <v>2:8</v>
      </c>
      <c r="CF10" cm="1">
        <f t="array" ref="CF10">INDEX(Energy!$N:$N,$BX10)</f>
        <v>123.509</v>
      </c>
      <c r="CG10" cm="1">
        <f t="array" ref="CG10">INDEX(Energy!$O:$O,$BX10)</f>
        <v>21.463000000000001</v>
      </c>
      <c r="CY10" t="str">
        <f>'Shapes 325'!D10</f>
        <v>4096x4096</v>
      </c>
      <c r="CZ10">
        <f>'Shapes 325'!Q10</f>
        <v>80.400000000000006</v>
      </c>
      <c r="DA10">
        <f>'Shapes 325'!Q22</f>
        <v>81.27</v>
      </c>
      <c r="DB10">
        <f>'Shapes 325'!Q34</f>
        <v>79.959999999999994</v>
      </c>
      <c r="DC10">
        <f>'Shapes 325'!Q46</f>
        <v>80.510000000000005</v>
      </c>
      <c r="DD10">
        <f>'Shapes 325'!Q58</f>
        <v>80.33</v>
      </c>
      <c r="DF10" t="str">
        <f>'Shapes 325'!D10</f>
        <v>4096x4096</v>
      </c>
      <c r="DG10">
        <f>'Shapes 325'!M10</f>
        <v>417.36939999999998</v>
      </c>
      <c r="DH10">
        <f>'Shapes 325'!M22</f>
        <v>206.42840000000001</v>
      </c>
      <c r="DI10">
        <f>'Shapes 325'!M34</f>
        <v>104.90649999999999</v>
      </c>
      <c r="DJ10">
        <f>'Shapes 325'!M46</f>
        <v>52.096200000000003</v>
      </c>
      <c r="DK10">
        <f>'Shapes 325'!M58</f>
        <v>26.107700000000001</v>
      </c>
      <c r="DL10">
        <f>'Shapes 325'!M70</f>
        <v>96.155600000000007</v>
      </c>
      <c r="DN10">
        <f t="shared" si="10"/>
        <v>25</v>
      </c>
      <c r="DO10" t="str" cm="1">
        <f t="array" ref="DO10">IF(MOD(ROW()-2,6)=2,INDEX('Energy 325'!$F:$F,$DN10),"")</f>
        <v>768x768</v>
      </c>
      <c r="DP10" t="str" cm="1">
        <f t="array" ref="DP10">INDEX('Energy 325'!$B:$B,$DN10)</f>
        <v>2:8</v>
      </c>
      <c r="DQ10" cm="1">
        <f t="array" ref="DQ10">INDEX('Energy 325'!$Q:$Q,$DN10)</f>
        <v>187.30799999999999</v>
      </c>
      <c r="DR10" cm="1">
        <f t="array" ref="DR10">INDEX('Energy 325'!$R:$R,$DN10)</f>
        <v>32.837000000000003</v>
      </c>
      <c r="DU10" t="str" cm="1">
        <f t="array" ref="DU10">INDEX('Energy 325'!$B:$B,$DN10)</f>
        <v>2:8</v>
      </c>
      <c r="DV10" cm="1">
        <f t="array" ref="DV10">INDEX('Energy 325'!$N:$N,$DN10)</f>
        <v>110.479</v>
      </c>
      <c r="DW10" cm="1">
        <f t="array" ref="DW10">INDEX('Energy 325'!$O:$O,$DN10)</f>
        <v>19.367999999999999</v>
      </c>
      <c r="DY10" t="str">
        <f>Serpens!C10</f>
        <v>G9 PFlow_742</v>
      </c>
      <c r="DZ10">
        <f>Serpens!K10</f>
        <v>1.6339999999999999</v>
      </c>
      <c r="EA10">
        <f>Serpens!L10</f>
        <v>1.7769999999999999</v>
      </c>
      <c r="EB10">
        <v>1</v>
      </c>
      <c r="ED10" t="str">
        <f>Serpens!C10</f>
        <v>G9 PFlow_742</v>
      </c>
      <c r="EE10">
        <f>Serpens!M10</f>
        <v>0.63560000000000005</v>
      </c>
      <c r="EF10">
        <f>Serpens!N10</f>
        <v>0.96870000000000001</v>
      </c>
      <c r="EG10">
        <v>1</v>
      </c>
    </row>
    <row r="11" spans="1:158" x14ac:dyDescent="0.35">
      <c r="A11" t="str">
        <f>Shapes!C23</f>
        <v>G10</v>
      </c>
      <c r="B11">
        <f>Shapes!S23</f>
        <v>2.0022000000000002</v>
      </c>
      <c r="C11">
        <f>Shapes!S35</f>
        <v>3.9874999999999998</v>
      </c>
      <c r="D11">
        <f>Shapes!S47</f>
        <v>7.9686000000000003</v>
      </c>
      <c r="E11">
        <f>Shapes!S59</f>
        <v>15.956899999999999</v>
      </c>
      <c r="AN11" t="str">
        <f>Shapes!D11</f>
        <v>8192x2048</v>
      </c>
      <c r="AO11">
        <f>Shapes!Q11</f>
        <v>73.91</v>
      </c>
      <c r="AP11">
        <f>Shapes!Q23</f>
        <v>73.989999999999995</v>
      </c>
      <c r="AQ11">
        <f>Shapes!Q35</f>
        <v>73.680000000000007</v>
      </c>
      <c r="AR11">
        <f>Shapes!Q47</f>
        <v>73.62</v>
      </c>
      <c r="AS11">
        <f>Shapes!Q59</f>
        <v>73.709999999999994</v>
      </c>
      <c r="AT11">
        <f>Shapes!P11</f>
        <v>73.91</v>
      </c>
      <c r="AU11">
        <f>Shapes!P23</f>
        <v>147.99</v>
      </c>
      <c r="AV11">
        <f>Shapes!P35</f>
        <v>294.72000000000003</v>
      </c>
      <c r="AW11">
        <f>Shapes!P47</f>
        <v>588.98</v>
      </c>
      <c r="AX11">
        <f>Shapes!P59</f>
        <v>1179.4100000000001</v>
      </c>
      <c r="AY11">
        <f t="shared" si="1"/>
        <v>76.8</v>
      </c>
      <c r="BC11" t="str">
        <f t="shared" si="2"/>
        <v>8192x2048</v>
      </c>
      <c r="BD11">
        <f t="shared" si="3"/>
        <v>73.91</v>
      </c>
      <c r="BE11">
        <f t="shared" si="4"/>
        <v>73.989999999999995</v>
      </c>
      <c r="BF11">
        <f t="shared" si="5"/>
        <v>73.680000000000007</v>
      </c>
      <c r="BG11">
        <f t="shared" si="6"/>
        <v>73.62</v>
      </c>
      <c r="BH11">
        <f t="shared" si="7"/>
        <v>73.709999999999994</v>
      </c>
      <c r="BI11">
        <f t="shared" si="8"/>
        <v>76.8</v>
      </c>
      <c r="BK11" t="str">
        <f>Shapes!D11</f>
        <v>8192x2048</v>
      </c>
      <c r="BL11">
        <f>Shapes!M11</f>
        <v>453.9778</v>
      </c>
      <c r="BM11">
        <f>Shapes!M23</f>
        <v>226.73570000000001</v>
      </c>
      <c r="BN11">
        <f>Shapes!M35</f>
        <v>113.8514</v>
      </c>
      <c r="BO11">
        <f>Shapes!M47</f>
        <v>56.970500000000001</v>
      </c>
      <c r="BP11">
        <f>Shapes!M59</f>
        <v>28.450299999999999</v>
      </c>
      <c r="BQ11">
        <f>Shapes!M71</f>
        <v>106.1097</v>
      </c>
      <c r="BS11" t="str">
        <f>Energy!B11</f>
        <v>dense</v>
      </c>
      <c r="BT11" t="str">
        <f>Energy!F11</f>
        <v>8192x2048</v>
      </c>
      <c r="BU11">
        <f>Energy!Q11</f>
        <v>740.71799999999996</v>
      </c>
      <c r="BV11">
        <f>Energy!R11</f>
        <v>118.871</v>
      </c>
      <c r="BX11">
        <f t="shared" si="9"/>
        <v>36</v>
      </c>
      <c r="BY11" t="str" cm="1">
        <f t="array" ref="BY11">IF(MOD(ROW()-2,6)=2,INDEX(Energy!$F:$F,$BX11),"")</f>
        <v/>
      </c>
      <c r="BZ11" t="str" cm="1">
        <f t="array" ref="BZ11">INDEX(Energy!$B:$B,$BX11)</f>
        <v>2:16</v>
      </c>
      <c r="CA11" cm="1">
        <f t="array" ref="CA11">INDEX(Energy!$Q:$Q,$BX11)</f>
        <v>105.038</v>
      </c>
      <c r="CB11" cm="1">
        <f t="array" ref="CB11">INDEX(Energy!$R:$R,$BX11)</f>
        <v>18.952999999999999</v>
      </c>
      <c r="CE11" t="str" cm="1">
        <f t="array" ref="CE11">INDEX(Energy!$B:$B,$BX11)</f>
        <v>2:16</v>
      </c>
      <c r="CF11" cm="1">
        <f t="array" ref="CF11">INDEX(Energy!$N:$N,$BX11)</f>
        <v>61.954000000000001</v>
      </c>
      <c r="CG11" cm="1">
        <f t="array" ref="CG11">INDEX(Energy!$O:$O,$BX11)</f>
        <v>11.179</v>
      </c>
      <c r="CY11" t="str">
        <f>'Shapes 325'!D11</f>
        <v>8192x2048</v>
      </c>
      <c r="CZ11">
        <f>'Shapes 325'!Q11</f>
        <v>80.010000000000005</v>
      </c>
      <c r="DA11">
        <f>'Shapes 325'!Q23</f>
        <v>80.61</v>
      </c>
      <c r="DB11">
        <f>'Shapes 325'!Q35</f>
        <v>80.42</v>
      </c>
      <c r="DC11">
        <f>'Shapes 325'!Q47</f>
        <v>80.08</v>
      </c>
      <c r="DD11">
        <f>'Shapes 325'!Q59</f>
        <v>80.150000000000006</v>
      </c>
      <c r="DF11" t="str">
        <f>'Shapes 325'!D11</f>
        <v>8192x2048</v>
      </c>
      <c r="DG11">
        <f>'Shapes 325'!M11</f>
        <v>419.39580000000001</v>
      </c>
      <c r="DH11">
        <f>'Shapes 325'!M23</f>
        <v>208.13050000000001</v>
      </c>
      <c r="DI11">
        <f>'Shapes 325'!M35</f>
        <v>104.3126</v>
      </c>
      <c r="DJ11">
        <f>'Shapes 325'!M47</f>
        <v>52.378799999999998</v>
      </c>
      <c r="DK11">
        <f>'Shapes 325'!M59</f>
        <v>26.165500000000002</v>
      </c>
      <c r="DL11">
        <f>'Shapes 325'!M71</f>
        <v>97.299400000000006</v>
      </c>
      <c r="DN11">
        <f t="shared" si="10"/>
        <v>36</v>
      </c>
      <c r="DO11" t="str" cm="1">
        <f t="array" ref="DO11">IF(MOD(ROW()-2,6)=2,INDEX('Energy 325'!$F:$F,$DN11),"")</f>
        <v/>
      </c>
      <c r="DP11" t="str" cm="1">
        <f t="array" ref="DP11">INDEX('Energy 325'!$B:$B,$DN11)</f>
        <v>2:16</v>
      </c>
      <c r="DQ11" cm="1">
        <f t="array" ref="DQ11">INDEX('Energy 325'!$Q:$Q,$DN11)</f>
        <v>95.802000000000007</v>
      </c>
      <c r="DR11" cm="1">
        <f t="array" ref="DR11">INDEX('Energy 325'!$R:$R,$DN11)</f>
        <v>18.661999999999999</v>
      </c>
      <c r="DU11" t="str" cm="1">
        <f t="array" ref="DU11">INDEX('Energy 325'!$B:$B,$DN11)</f>
        <v>2:16</v>
      </c>
      <c r="DV11" cm="1">
        <f t="array" ref="DV11">INDEX('Energy 325'!$N:$N,$DN11)</f>
        <v>56.506</v>
      </c>
      <c r="DW11" cm="1">
        <f t="array" ref="DW11">INDEX('Energy 325'!$O:$O,$DN11)</f>
        <v>11.007</v>
      </c>
      <c r="DY11" t="str">
        <f>Serpens!C11</f>
        <v>G10 ogbl_ppa</v>
      </c>
      <c r="DZ11">
        <f>Serpens!K11</f>
        <v>1.502</v>
      </c>
      <c r="EA11">
        <f>Serpens!L11</f>
        <v>1.6339999999999999</v>
      </c>
      <c r="EB11">
        <v>1</v>
      </c>
      <c r="ED11" t="str">
        <f>Serpens!C11</f>
        <v>G10 ogbl_ppa</v>
      </c>
      <c r="EE11">
        <f>Serpens!M11</f>
        <v>0.73029999999999995</v>
      </c>
      <c r="EF11">
        <f>Serpens!N11</f>
        <v>0.96870000000000001</v>
      </c>
      <c r="EG11">
        <v>1</v>
      </c>
    </row>
    <row r="12" spans="1:158" x14ac:dyDescent="0.35">
      <c r="A12" t="str">
        <f>Shapes!C24</f>
        <v>G11</v>
      </c>
      <c r="B12">
        <f>Shapes!S24</f>
        <v>2.02</v>
      </c>
      <c r="C12">
        <f>Shapes!S36</f>
        <v>4.0167999999999999</v>
      </c>
      <c r="D12">
        <f>Shapes!S48</f>
        <v>8.0263000000000009</v>
      </c>
      <c r="E12">
        <f>Shapes!S60</f>
        <v>16.263200000000001</v>
      </c>
      <c r="AN12" t="str">
        <f>Shapes!D12</f>
        <v>2048x8192</v>
      </c>
      <c r="AO12">
        <f>Shapes!Q12</f>
        <v>73.790000000000006</v>
      </c>
      <c r="AP12">
        <f>Shapes!Q24</f>
        <v>74.53</v>
      </c>
      <c r="AQ12">
        <f>Shapes!Q36</f>
        <v>74.099999999999994</v>
      </c>
      <c r="AR12">
        <f>Shapes!Q48</f>
        <v>74.040000000000006</v>
      </c>
      <c r="AS12">
        <f>Shapes!Q60</f>
        <v>75.010000000000005</v>
      </c>
      <c r="AT12">
        <f>Shapes!P12</f>
        <v>73.790000000000006</v>
      </c>
      <c r="AU12">
        <f>Shapes!P24</f>
        <v>149.06</v>
      </c>
      <c r="AV12">
        <f>Shapes!P36</f>
        <v>296.42</v>
      </c>
      <c r="AW12">
        <f>Shapes!P48</f>
        <v>592.29999999999995</v>
      </c>
      <c r="AX12">
        <f>Shapes!P60</f>
        <v>1200.1300000000001</v>
      </c>
      <c r="AY12">
        <f t="shared" si="1"/>
        <v>76.8</v>
      </c>
      <c r="BC12" t="str">
        <f t="shared" si="2"/>
        <v>2048x8192</v>
      </c>
      <c r="BD12">
        <f t="shared" si="3"/>
        <v>73.790000000000006</v>
      </c>
      <c r="BE12">
        <f t="shared" si="4"/>
        <v>74.53</v>
      </c>
      <c r="BF12">
        <f t="shared" si="5"/>
        <v>74.099999999999994</v>
      </c>
      <c r="BG12">
        <f t="shared" si="6"/>
        <v>74.040000000000006</v>
      </c>
      <c r="BH12">
        <f t="shared" si="7"/>
        <v>75.010000000000005</v>
      </c>
      <c r="BI12">
        <f t="shared" si="8"/>
        <v>76.8</v>
      </c>
      <c r="BK12" t="str">
        <f>Shapes!D12</f>
        <v>2048x8192</v>
      </c>
      <c r="BL12">
        <f>Shapes!M12</f>
        <v>454.70249999999999</v>
      </c>
      <c r="BM12">
        <f>Shapes!M24</f>
        <v>225.10550000000001</v>
      </c>
      <c r="BN12">
        <f>Shapes!M36</f>
        <v>113.20059999999999</v>
      </c>
      <c r="BO12">
        <f>Shapes!M48</f>
        <v>56.651400000000002</v>
      </c>
      <c r="BP12">
        <f>Shapes!M60</f>
        <v>27.9589</v>
      </c>
      <c r="BQ12">
        <f>Shapes!M72</f>
        <v>104.3028</v>
      </c>
      <c r="BS12" t="str">
        <f>Energy!B12</f>
        <v>dense</v>
      </c>
      <c r="BT12" t="str">
        <f>Energy!F12</f>
        <v>2048x8192</v>
      </c>
      <c r="BU12">
        <f>Energy!Q12</f>
        <v>741.90099999999995</v>
      </c>
      <c r="BV12">
        <f>Energy!R12</f>
        <v>119.06100000000001</v>
      </c>
      <c r="BX12">
        <f t="shared" si="9"/>
        <v>47</v>
      </c>
      <c r="BY12" t="str" cm="1">
        <f t="array" ref="BY12">IF(MOD(ROW()-2,6)=2,INDEX(Energy!$F:$F,$BX12),"")</f>
        <v/>
      </c>
      <c r="BZ12" t="str" cm="1">
        <f t="array" ref="BZ12">INDEX(Energy!$B:$B,$BX12)</f>
        <v>2:32</v>
      </c>
      <c r="CA12" cm="1">
        <f t="array" ref="CA12">INDEX(Energy!$Q:$Q,$BX12)</f>
        <v>52.631</v>
      </c>
      <c r="CB12" cm="1">
        <f t="array" ref="CB12">INDEX(Energy!$R:$R,$BX12)</f>
        <v>9.3789999999999996</v>
      </c>
      <c r="CE12" t="str" cm="1">
        <f t="array" ref="CE12">INDEX(Energy!$B:$B,$BX12)</f>
        <v>2:32</v>
      </c>
      <c r="CF12" cm="1">
        <f t="array" ref="CF12">INDEX(Energy!$N:$N,$BX12)</f>
        <v>31.042999999999999</v>
      </c>
      <c r="CG12" cm="1">
        <f t="array" ref="CG12">INDEX(Energy!$O:$O,$BX12)</f>
        <v>5.532</v>
      </c>
      <c r="CY12" t="str">
        <f>'Shapes 325'!D12</f>
        <v>2048x8192</v>
      </c>
      <c r="CZ12">
        <f>'Shapes 325'!Q12</f>
        <v>79.680000000000007</v>
      </c>
      <c r="DA12">
        <f>'Shapes 325'!Q24</f>
        <v>81.040000000000006</v>
      </c>
      <c r="DB12">
        <f>'Shapes 325'!Q36</f>
        <v>79.95</v>
      </c>
      <c r="DC12">
        <f>'Shapes 325'!Q48</f>
        <v>80.63</v>
      </c>
      <c r="DD12">
        <f>'Shapes 325'!Q60</f>
        <v>81.260000000000005</v>
      </c>
      <c r="DF12" t="str">
        <f>'Shapes 325'!D12</f>
        <v>2048x8192</v>
      </c>
      <c r="DG12">
        <f>'Shapes 325'!M12</f>
        <v>421.12040000000002</v>
      </c>
      <c r="DH12">
        <f>'Shapes 325'!M24</f>
        <v>207.0247</v>
      </c>
      <c r="DI12">
        <f>'Shapes 325'!M36</f>
        <v>104.9286</v>
      </c>
      <c r="DJ12">
        <f>'Shapes 325'!M48</f>
        <v>52.020099999999999</v>
      </c>
      <c r="DK12">
        <f>'Shapes 325'!M60</f>
        <v>25.807200000000002</v>
      </c>
      <c r="DL12">
        <f>'Shapes 325'!M72</f>
        <v>96.775400000000005</v>
      </c>
      <c r="DN12">
        <f t="shared" si="10"/>
        <v>47</v>
      </c>
      <c r="DO12" t="str" cm="1">
        <f t="array" ref="DO12">IF(MOD(ROW()-2,6)=2,INDEX('Energy 325'!$F:$F,$DN12),"")</f>
        <v/>
      </c>
      <c r="DP12" t="str" cm="1">
        <f t="array" ref="DP12">INDEX('Energy 325'!$B:$B,$DN12)</f>
        <v>2:32</v>
      </c>
      <c r="DQ12" cm="1">
        <f t="array" ref="DQ12">INDEX('Energy 325'!$Q:$Q,$DN12)</f>
        <v>48.609000000000002</v>
      </c>
      <c r="DR12" cm="1">
        <f t="array" ref="DR12">INDEX('Energy 325'!$R:$R,$DN12)</f>
        <v>9.6170000000000009</v>
      </c>
      <c r="DU12" t="str" cm="1">
        <f t="array" ref="DU12">INDEX('Energy 325'!$B:$B,$DN12)</f>
        <v>2:32</v>
      </c>
      <c r="DV12" cm="1">
        <f t="array" ref="DV12">INDEX('Energy 325'!$N:$N,$DN12)</f>
        <v>28.670999999999999</v>
      </c>
      <c r="DW12" cm="1">
        <f t="array" ref="DW12">INDEX('Energy 325'!$O:$O,$DN12)</f>
        <v>5.6719999999999997</v>
      </c>
      <c r="DY12" t="str">
        <f>Serpens!C12</f>
        <v>G11 hollywood</v>
      </c>
      <c r="DZ12">
        <f>Serpens!K12</f>
        <v>1.849</v>
      </c>
      <c r="EA12">
        <f>Serpens!L12</f>
        <v>2.0110000000000001</v>
      </c>
      <c r="EB12">
        <v>1</v>
      </c>
      <c r="ED12" t="str">
        <f>Serpens!C12</f>
        <v>G11 hollywood</v>
      </c>
      <c r="EE12">
        <f>Serpens!M12</f>
        <v>0.63680000000000003</v>
      </c>
      <c r="EF12">
        <f>Serpens!N12</f>
        <v>0.96870000000000001</v>
      </c>
      <c r="EG12">
        <v>1</v>
      </c>
    </row>
    <row r="13" spans="1:158" x14ac:dyDescent="0.35">
      <c r="A13" t="str">
        <f>Shapes!C25</f>
        <v>GEOMEAN</v>
      </c>
      <c r="B13">
        <f>Shapes!S25</f>
        <v>1.9999</v>
      </c>
      <c r="C13">
        <f>Shapes!S37</f>
        <v>3.9622999999999999</v>
      </c>
      <c r="D13">
        <f>Shapes!S49</f>
        <v>7.9318</v>
      </c>
      <c r="E13">
        <f>Shapes!S61</f>
        <v>15.811299999999999</v>
      </c>
      <c r="BS13" t="str">
        <f>Energy!B13</f>
        <v>2:4</v>
      </c>
      <c r="BT13" t="str">
        <f>Energy!F13</f>
        <v>512x512</v>
      </c>
      <c r="BU13">
        <f>Energy!Q13</f>
        <v>414.60199999999998</v>
      </c>
      <c r="BV13">
        <f>Energy!R13</f>
        <v>69.518000000000001</v>
      </c>
      <c r="BX13">
        <f t="shared" si="9"/>
        <v>58</v>
      </c>
      <c r="BY13" t="str" cm="1">
        <f t="array" ref="BY13">IF(MOD(ROW()-2,6)=2,INDEX(Energy!$F:$F,$BX13),"")</f>
        <v/>
      </c>
      <c r="BZ13" t="str" cm="1">
        <f t="array" ref="BZ13">INDEX(Energy!$B:$B,$BX13)</f>
        <v>MIXED</v>
      </c>
      <c r="CA13" cm="1">
        <f t="array" ref="CA13">INDEX(Energy!$Q:$Q,$BX13)</f>
        <v>190.92599999999999</v>
      </c>
      <c r="CB13" cm="1">
        <f t="array" ref="CB13">INDEX(Energy!$R:$R,$BX13)</f>
        <v>36.22</v>
      </c>
      <c r="CE13" t="str" cm="1">
        <f t="array" ref="CE13">INDEX(Energy!$B:$B,$BX13)</f>
        <v>MIXED</v>
      </c>
      <c r="CF13" cm="1">
        <f t="array" ref="CF13">INDEX(Energy!$N:$N,$BX13)</f>
        <v>112.613</v>
      </c>
      <c r="CG13" cm="1">
        <f t="array" ref="CG13">INDEX(Energy!$O:$O,$BX13)</f>
        <v>21.363</v>
      </c>
      <c r="DN13">
        <f t="shared" si="10"/>
        <v>58</v>
      </c>
      <c r="DO13" t="str" cm="1">
        <f t="array" ref="DO13">IF(MOD(ROW()-2,6)=2,INDEX('Energy 325'!$F:$F,$DN13),"")</f>
        <v/>
      </c>
      <c r="DP13" t="str" cm="1">
        <f t="array" ref="DP13">INDEX('Energy 325'!$B:$B,$DN13)</f>
        <v>MIXED</v>
      </c>
      <c r="DQ13" cm="1">
        <f t="array" ref="DQ13">INDEX('Energy 325'!$Q:$Q,$DN13)</f>
        <v>176.84700000000001</v>
      </c>
      <c r="DR13" cm="1">
        <f t="array" ref="DR13">INDEX('Energy 325'!$R:$R,$DN13)</f>
        <v>31.969000000000001</v>
      </c>
      <c r="DU13" t="str" cm="1">
        <f t="array" ref="DU13">INDEX('Energy 325'!$B:$B,$DN13)</f>
        <v>MIXED</v>
      </c>
      <c r="DV13" cm="1">
        <f t="array" ref="DV13">INDEX('Energy 325'!$N:$N,$DN13)</f>
        <v>104.309</v>
      </c>
      <c r="DW13" cm="1">
        <f t="array" ref="DW13">INDEX('Energy 325'!$O:$O,$DN13)</f>
        <v>18.856000000000002</v>
      </c>
      <c r="DY13" t="str">
        <f>Serpens!C13</f>
        <v>G12 ogbn_products</v>
      </c>
      <c r="DZ13">
        <f>Serpens!K13</f>
        <v>1.488</v>
      </c>
      <c r="EA13">
        <f>Serpens!L13</f>
        <v>1.619</v>
      </c>
      <c r="EB13">
        <v>1</v>
      </c>
      <c r="ED13" t="str">
        <f>Serpens!C13</f>
        <v>G12 ogbn_products</v>
      </c>
      <c r="EE13">
        <f>Serpens!M13</f>
        <v>0.68540000000000001</v>
      </c>
      <c r="EF13">
        <f>Serpens!N13</f>
        <v>0.96870000000000001</v>
      </c>
      <c r="EG13">
        <v>1</v>
      </c>
    </row>
    <row r="14" spans="1:158" x14ac:dyDescent="0.35">
      <c r="AN14" s="5" t="s">
        <v>191</v>
      </c>
      <c r="BC14" s="5" t="s">
        <v>193</v>
      </c>
      <c r="BS14" t="str">
        <f>Energy!B14</f>
        <v>2:4</v>
      </c>
      <c r="BT14" t="str">
        <f>Energy!F14</f>
        <v>768x768</v>
      </c>
      <c r="BU14">
        <f>Energy!Q14</f>
        <v>411.76299999999998</v>
      </c>
      <c r="BV14">
        <f>Energy!R14</f>
        <v>69.042000000000002</v>
      </c>
      <c r="BX14">
        <f t="shared" si="9"/>
        <v>4</v>
      </c>
      <c r="BY14" t="str" cm="1">
        <f t="array" ref="BY14">IF(MOD(ROW()-2,6)=2,INDEX(Energy!$F:$F,$BX14),"")</f>
        <v/>
      </c>
      <c r="BZ14" t="str" cm="1">
        <f t="array" ref="BZ14">INDEX(Energy!$B:$B,$BX14)</f>
        <v>dense</v>
      </c>
      <c r="CA14" cm="1">
        <f t="array" ref="CA14">INDEX(Energy!$Q:$Q,$BX14)</f>
        <v>725.34699999999998</v>
      </c>
      <c r="CB14" cm="1">
        <f t="array" ref="CB14">INDEX(Energy!$R:$R,$BX14)</f>
        <v>116.404</v>
      </c>
      <c r="CD14" t="s">
        <v>71</v>
      </c>
      <c r="CE14" t="str" cm="1">
        <f t="array" ref="CE14">INDEX(Energy!$B:$B,$BX14)</f>
        <v>dense</v>
      </c>
      <c r="CF14" cm="1">
        <f t="array" ref="CF14">INDEX(Energy!$N:$N,$BX14)</f>
        <v>760.58100000000002</v>
      </c>
      <c r="CG14" cm="1">
        <f t="array" ref="CG14">INDEX(Energy!$O:$O,$BX14)</f>
        <v>122.059</v>
      </c>
      <c r="DN14">
        <f t="shared" si="10"/>
        <v>4</v>
      </c>
      <c r="DO14" t="str" cm="1">
        <f t="array" ref="DO14">IF(MOD(ROW()-2,6)=2,INDEX('Energy 325'!$F:$F,$DN14),"")</f>
        <v/>
      </c>
      <c r="DP14" t="str" cm="1">
        <f t="array" ref="DP14">INDEX('Energy 325'!$B:$B,$DN14)</f>
        <v>dense</v>
      </c>
      <c r="DQ14" cm="1">
        <f t="array" ref="DQ14">INDEX('Energy 325'!$Q:$Q,$DN14)</f>
        <v>675.39099999999996</v>
      </c>
      <c r="DR14" cm="1">
        <f t="array" ref="DR14">INDEX('Energy 325'!$R:$R,$DN14)</f>
        <v>115.91200000000001</v>
      </c>
      <c r="DT14" t="s">
        <v>71</v>
      </c>
      <c r="DU14" t="str" cm="1">
        <f t="array" ref="DU14">INDEX('Energy 325'!$B:$B,$DN14)</f>
        <v>dense</v>
      </c>
      <c r="DV14" cm="1">
        <f t="array" ref="DV14">INDEX('Energy 325'!$N:$N,$DN14)</f>
        <v>708.19899999999996</v>
      </c>
      <c r="DW14" cm="1">
        <f t="array" ref="DW14">INDEX('Energy 325'!$O:$O,$DN14)</f>
        <v>121.542</v>
      </c>
      <c r="DY14" t="str">
        <f>Serpens!C14</f>
        <v>GEOMEAN</v>
      </c>
      <c r="DZ14">
        <f>Serpens!K14</f>
        <v>2.0649999999999999</v>
      </c>
      <c r="EA14">
        <f>Serpens!L14</f>
        <v>2.246</v>
      </c>
      <c r="EB14">
        <v>1</v>
      </c>
    </row>
    <row r="15" spans="1:158" x14ac:dyDescent="0.35">
      <c r="A15" s="5" t="s">
        <v>157</v>
      </c>
      <c r="BS15" t="str">
        <f>Energy!B15</f>
        <v>2:4</v>
      </c>
      <c r="BT15" t="str">
        <f>Energy!F15</f>
        <v>1024x1024</v>
      </c>
      <c r="BU15">
        <f>Energy!Q15</f>
        <v>417.673</v>
      </c>
      <c r="BV15">
        <f>Energy!R15</f>
        <v>70.033000000000001</v>
      </c>
      <c r="BX15">
        <f t="shared" si="9"/>
        <v>15</v>
      </c>
      <c r="BY15" t="str" cm="1">
        <f t="array" ref="BY15">IF(MOD(ROW()-2,6)=2,INDEX(Energy!$F:$F,$BX15),"")</f>
        <v/>
      </c>
      <c r="BZ15" t="str" cm="1">
        <f t="array" ref="BZ15">INDEX(Energy!$B:$B,$BX15)</f>
        <v>2:4</v>
      </c>
      <c r="CA15" cm="1">
        <f t="array" ref="CA15">INDEX(Energy!$Q:$Q,$BX15)</f>
        <v>417.673</v>
      </c>
      <c r="CB15" cm="1">
        <f t="array" ref="CB15">INDEX(Energy!$R:$R,$BX15)</f>
        <v>70.033000000000001</v>
      </c>
      <c r="CE15" t="str" cm="1">
        <f t="array" ref="CE15">INDEX(Energy!$B:$B,$BX15)</f>
        <v>2:4</v>
      </c>
      <c r="CF15" cm="1">
        <f t="array" ref="CF15">INDEX(Energy!$N:$N,$BX15)</f>
        <v>437.96199999999999</v>
      </c>
      <c r="CG15" cm="1">
        <f t="array" ref="CG15">INDEX(Energy!$O:$O,$BX15)</f>
        <v>73.435000000000002</v>
      </c>
      <c r="DN15">
        <f t="shared" si="10"/>
        <v>15</v>
      </c>
      <c r="DO15" t="str" cm="1">
        <f t="array" ref="DO15">IF(MOD(ROW()-2,6)=2,INDEX('Energy 325'!$F:$F,$DN15),"")</f>
        <v/>
      </c>
      <c r="DP15" t="str" cm="1">
        <f t="array" ref="DP15">INDEX('Energy 325'!$B:$B,$DN15)</f>
        <v>2:4</v>
      </c>
      <c r="DQ15" cm="1">
        <f t="array" ref="DQ15">INDEX('Energy 325'!$Q:$Q,$DN15)</f>
        <v>376.71199999999999</v>
      </c>
      <c r="DR15" cm="1">
        <f t="array" ref="DR15">INDEX('Energy 325'!$R:$R,$DN15)</f>
        <v>72.795000000000002</v>
      </c>
      <c r="DU15" t="str" cm="1">
        <f t="array" ref="DU15">INDEX('Energy 325'!$B:$B,$DN15)</f>
        <v>2:4</v>
      </c>
      <c r="DV15" cm="1">
        <f t="array" ref="DV15">INDEX('Energy 325'!$N:$N,$DN15)</f>
        <v>395.01100000000002</v>
      </c>
      <c r="DW15" cm="1">
        <f t="array" ref="DW15">INDEX('Energy 325'!$O:$O,$DN15)</f>
        <v>76.331000000000003</v>
      </c>
    </row>
    <row r="16" spans="1:158" x14ac:dyDescent="0.35">
      <c r="BS16" t="str">
        <f>Energy!B16</f>
        <v>2:4</v>
      </c>
      <c r="BT16" t="str">
        <f>Energy!F16</f>
        <v>3072x768</v>
      </c>
      <c r="BU16">
        <f>Energy!Q16</f>
        <v>417.08499999999998</v>
      </c>
      <c r="BV16">
        <f>Energy!R16</f>
        <v>69.933999999999997</v>
      </c>
      <c r="BX16">
        <f t="shared" si="9"/>
        <v>26</v>
      </c>
      <c r="BY16" t="str" cm="1">
        <f t="array" ref="BY16">IF(MOD(ROW()-2,6)=2,INDEX(Energy!$F:$F,$BX16),"")</f>
        <v>1024x1024</v>
      </c>
      <c r="BZ16" t="str" cm="1">
        <f t="array" ref="BZ16">INDEX(Energy!$B:$B,$BX16)</f>
        <v>2:8</v>
      </c>
      <c r="CA16" cm="1">
        <f t="array" ref="CA16">INDEX(Energy!$Q:$Q,$BX16)</f>
        <v>209.28800000000001</v>
      </c>
      <c r="CB16" cm="1">
        <f t="array" ref="CB16">INDEX(Energy!$R:$R,$BX16)</f>
        <v>36.368000000000002</v>
      </c>
      <c r="CE16" t="str" cm="1">
        <f t="array" ref="CE16">INDEX(Energy!$B:$B,$BX16)</f>
        <v>2:8</v>
      </c>
      <c r="CF16" cm="1">
        <f t="array" ref="CF16">INDEX(Energy!$N:$N,$BX16)</f>
        <v>219.45500000000001</v>
      </c>
      <c r="CG16" cm="1">
        <f t="array" ref="CG16">INDEX(Energy!$O:$O,$BX16)</f>
        <v>38.134999999999998</v>
      </c>
      <c r="DN16">
        <f t="shared" si="10"/>
        <v>26</v>
      </c>
      <c r="DO16" t="str" cm="1">
        <f t="array" ref="DO16">IF(MOD(ROW()-2,6)=2,INDEX('Energy 325'!$F:$F,$DN16),"")</f>
        <v>1024x1024</v>
      </c>
      <c r="DP16" t="str" cm="1">
        <f t="array" ref="DP16">INDEX('Energy 325'!$B:$B,$DN16)</f>
        <v>2:8</v>
      </c>
      <c r="DQ16" cm="1">
        <f t="array" ref="DQ16">INDEX('Energy 325'!$Q:$Q,$DN16)</f>
        <v>187.26499999999999</v>
      </c>
      <c r="DR16" cm="1">
        <f t="array" ref="DR16">INDEX('Energy 325'!$R:$R,$DN16)</f>
        <v>32.829000000000001</v>
      </c>
      <c r="DU16" t="str" cm="1">
        <f t="array" ref="DU16">INDEX('Energy 325'!$B:$B,$DN16)</f>
        <v>2:8</v>
      </c>
      <c r="DV16" cm="1">
        <f t="array" ref="DV16">INDEX('Energy 325'!$N:$N,$DN16)</f>
        <v>196.36199999999999</v>
      </c>
      <c r="DW16" cm="1">
        <f t="array" ref="DW16">INDEX('Energy 325'!$O:$O,$DN16)</f>
        <v>34.423999999999999</v>
      </c>
    </row>
    <row r="17" spans="71:127" x14ac:dyDescent="0.35">
      <c r="BS17" t="str">
        <f>Energy!B17</f>
        <v>2:4</v>
      </c>
      <c r="BT17" t="str">
        <f>Energy!F17</f>
        <v>768x3072</v>
      </c>
      <c r="BU17">
        <f>Energy!Q17</f>
        <v>415.46300000000002</v>
      </c>
      <c r="BV17">
        <f>Energy!R17</f>
        <v>69.662999999999997</v>
      </c>
      <c r="BX17">
        <f t="shared" si="9"/>
        <v>37</v>
      </c>
      <c r="BY17" t="str" cm="1">
        <f t="array" ref="BY17">IF(MOD(ROW()-2,6)=2,INDEX(Energy!$F:$F,$BX17),"")</f>
        <v/>
      </c>
      <c r="BZ17" t="str" cm="1">
        <f t="array" ref="BZ17">INDEX(Energy!$B:$B,$BX17)</f>
        <v>2:16</v>
      </c>
      <c r="CA17" cm="1">
        <f t="array" ref="CA17">INDEX(Energy!$Q:$Q,$BX17)</f>
        <v>103.55200000000001</v>
      </c>
      <c r="CB17" cm="1">
        <f t="array" ref="CB17">INDEX(Energy!$R:$R,$BX17)</f>
        <v>18.684000000000001</v>
      </c>
      <c r="CE17" t="str" cm="1">
        <f t="array" ref="CE17">INDEX(Energy!$B:$B,$BX17)</f>
        <v>2:16</v>
      </c>
      <c r="CF17" cm="1">
        <f t="array" ref="CF17">INDEX(Energy!$N:$N,$BX17)</f>
        <v>108.58199999999999</v>
      </c>
      <c r="CG17" cm="1">
        <f t="array" ref="CG17">INDEX(Energy!$O:$O,$BX17)</f>
        <v>19.591999999999999</v>
      </c>
      <c r="DN17">
        <f t="shared" si="10"/>
        <v>37</v>
      </c>
      <c r="DO17" t="str" cm="1">
        <f t="array" ref="DO17">IF(MOD(ROW()-2,6)=2,INDEX('Energy 325'!$F:$F,$DN17),"")</f>
        <v/>
      </c>
      <c r="DP17" t="str" cm="1">
        <f t="array" ref="DP17">INDEX('Energy 325'!$B:$B,$DN17)</f>
        <v>2:16</v>
      </c>
      <c r="DQ17" cm="1">
        <f t="array" ref="DQ17">INDEX('Energy 325'!$Q:$Q,$DN17)</f>
        <v>95.343000000000004</v>
      </c>
      <c r="DR17" cm="1">
        <f t="array" ref="DR17">INDEX('Energy 325'!$R:$R,$DN17)</f>
        <v>18.571999999999999</v>
      </c>
      <c r="DU17" t="str" cm="1">
        <f t="array" ref="DU17">INDEX('Energy 325'!$B:$B,$DN17)</f>
        <v>2:16</v>
      </c>
      <c r="DV17" cm="1">
        <f t="array" ref="DV17">INDEX('Energy 325'!$N:$N,$DN17)</f>
        <v>99.974000000000004</v>
      </c>
      <c r="DW17" cm="1">
        <f t="array" ref="DW17">INDEX('Energy 325'!$O:$O,$DN17)</f>
        <v>19.474</v>
      </c>
    </row>
    <row r="18" spans="71:127" x14ac:dyDescent="0.35">
      <c r="BS18" t="str">
        <f>Energy!B18</f>
        <v>2:4</v>
      </c>
      <c r="BT18" t="str">
        <f>Energy!F18</f>
        <v>4096x1024</v>
      </c>
      <c r="BU18">
        <f>Energy!Q18</f>
        <v>412.46100000000001</v>
      </c>
      <c r="BV18">
        <f>Energy!R18</f>
        <v>69.159000000000006</v>
      </c>
      <c r="BX18">
        <f t="shared" si="9"/>
        <v>48</v>
      </c>
      <c r="BY18" t="str" cm="1">
        <f t="array" ref="BY18">IF(MOD(ROW()-2,6)=2,INDEX(Energy!$F:$F,$BX18),"")</f>
        <v/>
      </c>
      <c r="BZ18" t="str" cm="1">
        <f t="array" ref="BZ18">INDEX(Energy!$B:$B,$BX18)</f>
        <v>2:32</v>
      </c>
      <c r="CA18" cm="1">
        <f t="array" ref="CA18">INDEX(Energy!$Q:$Q,$BX18)</f>
        <v>52.084000000000003</v>
      </c>
      <c r="CB18" cm="1">
        <f t="array" ref="CB18">INDEX(Energy!$R:$R,$BX18)</f>
        <v>9.282</v>
      </c>
      <c r="CE18" t="str" cm="1">
        <f t="array" ref="CE18">INDEX(Energy!$B:$B,$BX18)</f>
        <v>2:32</v>
      </c>
      <c r="CF18" cm="1">
        <f t="array" ref="CF18">INDEX(Energy!$N:$N,$BX18)</f>
        <v>54.613999999999997</v>
      </c>
      <c r="CG18" cm="1">
        <f t="array" ref="CG18">INDEX(Energy!$O:$O,$BX18)</f>
        <v>9.7330000000000005</v>
      </c>
      <c r="DN18">
        <f t="shared" si="10"/>
        <v>48</v>
      </c>
      <c r="DO18" t="str" cm="1">
        <f t="array" ref="DO18">IF(MOD(ROW()-2,6)=2,INDEX('Energy 325'!$F:$F,$DN18),"")</f>
        <v/>
      </c>
      <c r="DP18" t="str" cm="1">
        <f t="array" ref="DP18">INDEX('Energy 325'!$B:$B,$DN18)</f>
        <v>2:32</v>
      </c>
      <c r="DQ18" cm="1">
        <f t="array" ref="DQ18">INDEX('Energy 325'!$Q:$Q,$DN18)</f>
        <v>48.063000000000002</v>
      </c>
      <c r="DR18" cm="1">
        <f t="array" ref="DR18">INDEX('Energy 325'!$R:$R,$DN18)</f>
        <v>9.5090000000000003</v>
      </c>
      <c r="DU18" t="str" cm="1">
        <f t="array" ref="DU18">INDEX('Energy 325'!$B:$B,$DN18)</f>
        <v>2:32</v>
      </c>
      <c r="DV18" cm="1">
        <f t="array" ref="DV18">INDEX('Energy 325'!$N:$N,$DN18)</f>
        <v>50.396999999999998</v>
      </c>
      <c r="DW18" cm="1">
        <f t="array" ref="DW18">INDEX('Energy 325'!$O:$O,$DN18)</f>
        <v>9.9710000000000001</v>
      </c>
    </row>
    <row r="19" spans="71:127" x14ac:dyDescent="0.35">
      <c r="BS19" t="str">
        <f>Energy!B19</f>
        <v>2:4</v>
      </c>
      <c r="BT19" t="str">
        <f>Energy!F19</f>
        <v>1024x4096</v>
      </c>
      <c r="BU19">
        <f>Energy!Q19</f>
        <v>414.96499999999997</v>
      </c>
      <c r="BV19">
        <f>Energy!R19</f>
        <v>69.578999999999994</v>
      </c>
      <c r="BX19">
        <f t="shared" si="9"/>
        <v>59</v>
      </c>
      <c r="BY19" t="str" cm="1">
        <f t="array" ref="BY19">IF(MOD(ROW()-2,6)=2,INDEX(Energy!$F:$F,$BX19),"")</f>
        <v/>
      </c>
      <c r="BZ19" t="str" cm="1">
        <f t="array" ref="BZ19">INDEX(Energy!$B:$B,$BX19)</f>
        <v>MIXED</v>
      </c>
      <c r="CA19" cm="1">
        <f t="array" ref="CA19">INDEX(Energy!$Q:$Q,$BX19)</f>
        <v>187.31</v>
      </c>
      <c r="CB19" cm="1">
        <f t="array" ref="CB19">INDEX(Energy!$R:$R,$BX19)</f>
        <v>35.533999999999999</v>
      </c>
      <c r="CE19" t="str" cm="1">
        <f t="array" ref="CE19">INDEX(Energy!$B:$B,$BX19)</f>
        <v>MIXED</v>
      </c>
      <c r="CF19" cm="1">
        <f t="array" ref="CF19">INDEX(Energy!$N:$N,$BX19)</f>
        <v>196.40899999999999</v>
      </c>
      <c r="CG19" cm="1">
        <f t="array" ref="CG19">INDEX(Energy!$O:$O,$BX19)</f>
        <v>37.26</v>
      </c>
      <c r="DN19">
        <f t="shared" si="10"/>
        <v>59</v>
      </c>
      <c r="DO19" t="str" cm="1">
        <f t="array" ref="DO19">IF(MOD(ROW()-2,6)=2,INDEX('Energy 325'!$F:$F,$DN19),"")</f>
        <v/>
      </c>
      <c r="DP19" t="str" cm="1">
        <f t="array" ref="DP19">INDEX('Energy 325'!$B:$B,$DN19)</f>
        <v>MIXED</v>
      </c>
      <c r="DQ19" cm="1">
        <f t="array" ref="DQ19">INDEX('Energy 325'!$Q:$Q,$DN19)</f>
        <v>172.93600000000001</v>
      </c>
      <c r="DR19" cm="1">
        <f t="array" ref="DR19">INDEX('Energy 325'!$R:$R,$DN19)</f>
        <v>31.262</v>
      </c>
      <c r="DU19" t="str" cm="1">
        <f t="array" ref="DU19">INDEX('Energy 325'!$B:$B,$DN19)</f>
        <v>MIXED</v>
      </c>
      <c r="DV19" cm="1">
        <f t="array" ref="DV19">INDEX('Energy 325'!$N:$N,$DN19)</f>
        <v>181.33600000000001</v>
      </c>
      <c r="DW19" cm="1">
        <f t="array" ref="DW19">INDEX('Energy 325'!$O:$O,$DN19)</f>
        <v>32.780999999999999</v>
      </c>
    </row>
    <row r="20" spans="71:127" x14ac:dyDescent="0.35">
      <c r="BS20" t="str">
        <f>Energy!B20</f>
        <v>2:4</v>
      </c>
      <c r="BT20" t="str">
        <f>Energy!F20</f>
        <v>2048x2048</v>
      </c>
      <c r="BU20">
        <f>Energy!Q20</f>
        <v>418.39499999999998</v>
      </c>
      <c r="BV20">
        <f>Energy!R20</f>
        <v>70.153999999999996</v>
      </c>
      <c r="BX20">
        <f t="shared" si="9"/>
        <v>5</v>
      </c>
      <c r="BY20" t="str" cm="1">
        <f t="array" ref="BY20">IF(MOD(ROW()-2,6)=2,INDEX(Energy!$F:$F,$BX20),"")</f>
        <v/>
      </c>
      <c r="BZ20" t="str" cm="1">
        <f t="array" ref="BZ20">INDEX(Energy!$B:$B,$BX20)</f>
        <v>dense</v>
      </c>
      <c r="CA20" cm="1">
        <f t="array" ref="CA20">INDEX(Energy!$Q:$Q,$BX20)</f>
        <v>734.65300000000002</v>
      </c>
      <c r="CB20" cm="1">
        <f t="array" ref="CB20">INDEX(Energy!$R:$R,$BX20)</f>
        <v>117.898</v>
      </c>
      <c r="CD20" t="s">
        <v>73</v>
      </c>
      <c r="CE20" t="str" cm="1">
        <f t="array" ref="CE20">INDEX(Energy!$B:$B,$BX20)</f>
        <v>dense</v>
      </c>
      <c r="CF20" cm="1">
        <f t="array" ref="CF20">INDEX(Energy!$N:$N,$BX20)</f>
        <v>1733.2639999999999</v>
      </c>
      <c r="CG20" cm="1">
        <f t="array" ref="CG20">INDEX(Energy!$O:$O,$BX20)</f>
        <v>278.15600000000001</v>
      </c>
      <c r="DN20">
        <f t="shared" si="10"/>
        <v>5</v>
      </c>
      <c r="DO20" t="str" cm="1">
        <f t="array" ref="DO20">IF(MOD(ROW()-2,6)=2,INDEX('Energy 325'!$F:$F,$DN20),"")</f>
        <v/>
      </c>
      <c r="DP20" t="str" cm="1">
        <f t="array" ref="DP20">INDEX('Energy 325'!$B:$B,$DN20)</f>
        <v>dense</v>
      </c>
      <c r="DQ20" cm="1">
        <f t="array" ref="DQ20">INDEX('Energy 325'!$Q:$Q,$DN20)</f>
        <v>678.97699999999998</v>
      </c>
      <c r="DR20" cm="1">
        <f t="array" ref="DR20">INDEX('Energy 325'!$R:$R,$DN20)</f>
        <v>116.527</v>
      </c>
      <c r="DT20" t="s">
        <v>73</v>
      </c>
      <c r="DU20" t="str" cm="1">
        <f t="array" ref="DU20">INDEX('Energy 325'!$B:$B,$DN20)</f>
        <v>dense</v>
      </c>
      <c r="DV20" cm="1">
        <f t="array" ref="DV20">INDEX('Energy 325'!$N:$N,$DN20)</f>
        <v>1601.9079999999999</v>
      </c>
      <c r="DW20" cm="1">
        <f t="array" ref="DW20">INDEX('Energy 325'!$O:$O,$DN20)</f>
        <v>274.92200000000003</v>
      </c>
    </row>
    <row r="21" spans="71:127" x14ac:dyDescent="0.35">
      <c r="BS21" t="str">
        <f>Energy!B21</f>
        <v>2:4</v>
      </c>
      <c r="BT21" t="str">
        <f>Energy!F21</f>
        <v>4096x4096</v>
      </c>
      <c r="BU21">
        <f>Energy!Q21</f>
        <v>410.46600000000001</v>
      </c>
      <c r="BV21">
        <f>Energy!R21</f>
        <v>68.825000000000003</v>
      </c>
      <c r="BX21">
        <f t="shared" si="9"/>
        <v>16</v>
      </c>
      <c r="BY21" t="str" cm="1">
        <f t="array" ref="BY21">IF(MOD(ROW()-2,6)=2,INDEX(Energy!$F:$F,$BX21),"")</f>
        <v/>
      </c>
      <c r="BZ21" t="str" cm="1">
        <f t="array" ref="BZ21">INDEX(Energy!$B:$B,$BX21)</f>
        <v>2:4</v>
      </c>
      <c r="CA21" cm="1">
        <f t="array" ref="CA21">INDEX(Energy!$Q:$Q,$BX21)</f>
        <v>417.08499999999998</v>
      </c>
      <c r="CB21" cm="1">
        <f t="array" ref="CB21">INDEX(Energy!$R:$R,$BX21)</f>
        <v>69.933999999999997</v>
      </c>
      <c r="CE21" t="str" cm="1">
        <f t="array" ref="CE21">INDEX(Energy!$B:$B,$BX21)</f>
        <v>2:4</v>
      </c>
      <c r="CF21" cm="1">
        <f t="array" ref="CF21">INDEX(Energy!$N:$N,$BX21)</f>
        <v>984.02599999999995</v>
      </c>
      <c r="CG21" cm="1">
        <f t="array" ref="CG21">INDEX(Energy!$O:$O,$BX21)</f>
        <v>164.99600000000001</v>
      </c>
      <c r="DN21">
        <f t="shared" si="10"/>
        <v>16</v>
      </c>
      <c r="DO21" t="str" cm="1">
        <f t="array" ref="DO21">IF(MOD(ROW()-2,6)=2,INDEX('Energy 325'!$F:$F,$DN21),"")</f>
        <v/>
      </c>
      <c r="DP21" t="str" cm="1">
        <f t="array" ref="DP21">INDEX('Energy 325'!$B:$B,$DN21)</f>
        <v>2:4</v>
      </c>
      <c r="DQ21" cm="1">
        <f t="array" ref="DQ21">INDEX('Energy 325'!$Q:$Q,$DN21)</f>
        <v>376.19799999999998</v>
      </c>
      <c r="DR21" cm="1">
        <f t="array" ref="DR21">INDEX('Energy 325'!$R:$R,$DN21)</f>
        <v>72.694999999999993</v>
      </c>
      <c r="DU21" t="str" cm="1">
        <f t="array" ref="DU21">INDEX('Energy 325'!$B:$B,$DN21)</f>
        <v>2:4</v>
      </c>
      <c r="DV21" cm="1">
        <f t="array" ref="DV21">INDEX('Energy 325'!$N:$N,$DN21)</f>
        <v>887.56299999999999</v>
      </c>
      <c r="DW21" cm="1">
        <f t="array" ref="DW21">INDEX('Energy 325'!$O:$O,$DN21)</f>
        <v>171.51</v>
      </c>
    </row>
    <row r="22" spans="71:127" x14ac:dyDescent="0.35">
      <c r="BS22" t="str">
        <f>Energy!B22</f>
        <v>2:4</v>
      </c>
      <c r="BT22" t="str">
        <f>Energy!F22</f>
        <v>8192x2048</v>
      </c>
      <c r="BU22">
        <f>Energy!Q22</f>
        <v>415.65199999999999</v>
      </c>
      <c r="BV22">
        <f>Energy!R22</f>
        <v>69.694000000000003</v>
      </c>
      <c r="BX22">
        <f t="shared" si="9"/>
        <v>27</v>
      </c>
      <c r="BY22" t="str" cm="1">
        <f t="array" ref="BY22">IF(MOD(ROW()-2,6)=2,INDEX(Energy!$F:$F,$BX22),"")</f>
        <v>3072x768</v>
      </c>
      <c r="BZ22" t="str" cm="1">
        <f t="array" ref="BZ22">INDEX(Energy!$B:$B,$BX22)</f>
        <v>2:8</v>
      </c>
      <c r="CA22" cm="1">
        <f t="array" ref="CA22">INDEX(Energy!$Q:$Q,$BX22)</f>
        <v>208.69</v>
      </c>
      <c r="CB22" cm="1">
        <f t="array" ref="CB22">INDEX(Energy!$R:$R,$BX22)</f>
        <v>36.265000000000001</v>
      </c>
      <c r="CE22" t="str" cm="1">
        <f t="array" ref="CE22">INDEX(Energy!$B:$B,$BX22)</f>
        <v>2:8</v>
      </c>
      <c r="CF22" cm="1">
        <f t="array" ref="CF22">INDEX(Energy!$N:$N,$BX22)</f>
        <v>492.36099999999999</v>
      </c>
      <c r="CG22" cm="1">
        <f t="array" ref="CG22">INDEX(Energy!$O:$O,$BX22)</f>
        <v>85.558999999999997</v>
      </c>
      <c r="DN22">
        <f t="shared" si="10"/>
        <v>27</v>
      </c>
      <c r="DO22" t="str" cm="1">
        <f t="array" ref="DO22">IF(MOD(ROW()-2,6)=2,INDEX('Energy 325'!$F:$F,$DN22),"")</f>
        <v>3072x768</v>
      </c>
      <c r="DP22" t="str" cm="1">
        <f t="array" ref="DP22">INDEX('Energy 325'!$B:$B,$DN22)</f>
        <v>2:8</v>
      </c>
      <c r="DQ22" cm="1">
        <f t="array" ref="DQ22">INDEX('Energy 325'!$Q:$Q,$DN22)</f>
        <v>188.696</v>
      </c>
      <c r="DR22" cm="1">
        <f t="array" ref="DR22">INDEX('Energy 325'!$R:$R,$DN22)</f>
        <v>33.08</v>
      </c>
      <c r="DU22" t="str" cm="1">
        <f t="array" ref="DU22">INDEX('Energy 325'!$B:$B,$DN22)</f>
        <v>2:8</v>
      </c>
      <c r="DV22" cm="1">
        <f t="array" ref="DV22">INDEX('Energy 325'!$N:$N,$DN22)</f>
        <v>445.19</v>
      </c>
      <c r="DW22" cm="1">
        <f t="array" ref="DW22">INDEX('Energy 325'!$O:$O,$DN22)</f>
        <v>78.046000000000006</v>
      </c>
    </row>
    <row r="23" spans="71:127" x14ac:dyDescent="0.35">
      <c r="BS23" t="str">
        <f>Energy!B23</f>
        <v>2:4</v>
      </c>
      <c r="BT23" t="str">
        <f>Energy!F23</f>
        <v>2048x8192</v>
      </c>
      <c r="BU23">
        <f>Energy!Q23</f>
        <v>412.66399999999999</v>
      </c>
      <c r="BV23">
        <f>Energy!R23</f>
        <v>69.192999999999998</v>
      </c>
      <c r="BX23">
        <f t="shared" si="9"/>
        <v>38</v>
      </c>
      <c r="BY23" t="str" cm="1">
        <f t="array" ref="BY23">IF(MOD(ROW()-2,6)=2,INDEX(Energy!$F:$F,$BX23),"")</f>
        <v/>
      </c>
      <c r="BZ23" t="str" cm="1">
        <f t="array" ref="BZ23">INDEX(Energy!$B:$B,$BX23)</f>
        <v>2:16</v>
      </c>
      <c r="CA23" cm="1">
        <f t="array" ref="CA23">INDEX(Energy!$Q:$Q,$BX23)</f>
        <v>103.559</v>
      </c>
      <c r="CB23" cm="1">
        <f t="array" ref="CB23">INDEX(Energy!$R:$R,$BX23)</f>
        <v>18.686</v>
      </c>
      <c r="CE23" t="str" cm="1">
        <f t="array" ref="CE23">INDEX(Energy!$B:$B,$BX23)</f>
        <v>2:16</v>
      </c>
      <c r="CF23" cm="1">
        <f t="array" ref="CF23">INDEX(Energy!$N:$N,$BX23)</f>
        <v>244.32599999999999</v>
      </c>
      <c r="CG23" cm="1">
        <f t="array" ref="CG23">INDEX(Energy!$O:$O,$BX23)</f>
        <v>44.085000000000001</v>
      </c>
      <c r="DN23">
        <f t="shared" si="10"/>
        <v>38</v>
      </c>
      <c r="DO23" t="str" cm="1">
        <f t="array" ref="DO23">IF(MOD(ROW()-2,6)=2,INDEX('Energy 325'!$F:$F,$DN23),"")</f>
        <v/>
      </c>
      <c r="DP23" t="str" cm="1">
        <f t="array" ref="DP23">INDEX('Energy 325'!$B:$B,$DN23)</f>
        <v>2:16</v>
      </c>
      <c r="DQ23" cm="1">
        <f t="array" ref="DQ23">INDEX('Energy 325'!$Q:$Q,$DN23)</f>
        <v>94.825999999999993</v>
      </c>
      <c r="DR23" cm="1">
        <f t="array" ref="DR23">INDEX('Energy 325'!$R:$R,$DN23)</f>
        <v>18.472000000000001</v>
      </c>
      <c r="DU23" t="str" cm="1">
        <f t="array" ref="DU23">INDEX('Energy 325'!$B:$B,$DN23)</f>
        <v>2:16</v>
      </c>
      <c r="DV23" cm="1">
        <f t="array" ref="DV23">INDEX('Energy 325'!$N:$N,$DN23)</f>
        <v>223.72300000000001</v>
      </c>
      <c r="DW23" cm="1">
        <f t="array" ref="DW23">INDEX('Energy 325'!$O:$O,$DN23)</f>
        <v>43.58</v>
      </c>
    </row>
    <row r="24" spans="71:127" x14ac:dyDescent="0.35">
      <c r="BS24" t="str">
        <f>Energy!B24</f>
        <v>2:8</v>
      </c>
      <c r="BT24" t="str">
        <f>Energy!F24</f>
        <v>512x512</v>
      </c>
      <c r="BU24">
        <f>Energy!Q24</f>
        <v>212.12899999999999</v>
      </c>
      <c r="BV24">
        <f>Energy!R24</f>
        <v>36.862000000000002</v>
      </c>
      <c r="BX24">
        <f t="shared" si="9"/>
        <v>49</v>
      </c>
      <c r="BY24" t="str" cm="1">
        <f t="array" ref="BY24">IF(MOD(ROW()-2,6)=2,INDEX(Energy!$F:$F,$BX24),"")</f>
        <v/>
      </c>
      <c r="BZ24" t="str" cm="1">
        <f t="array" ref="BZ24">INDEX(Energy!$B:$B,$BX24)</f>
        <v>2:32</v>
      </c>
      <c r="CA24" cm="1">
        <f t="array" ref="CA24">INDEX(Energy!$Q:$Q,$BX24)</f>
        <v>52.817999999999998</v>
      </c>
      <c r="CB24" cm="1">
        <f t="array" ref="CB24">INDEX(Energy!$R:$R,$BX24)</f>
        <v>9.4130000000000003</v>
      </c>
      <c r="CE24" t="str" cm="1">
        <f t="array" ref="CE24">INDEX(Energy!$B:$B,$BX24)</f>
        <v>2:32</v>
      </c>
      <c r="CF24" cm="1">
        <f t="array" ref="CF24">INDEX(Energy!$N:$N,$BX24)</f>
        <v>124.613</v>
      </c>
      <c r="CG24" cm="1">
        <f t="array" ref="CG24">INDEX(Energy!$O:$O,$BX24)</f>
        <v>22.207000000000001</v>
      </c>
      <c r="DN24">
        <f t="shared" si="10"/>
        <v>49</v>
      </c>
      <c r="DO24" t="str" cm="1">
        <f t="array" ref="DO24">IF(MOD(ROW()-2,6)=2,INDEX('Energy 325'!$F:$F,$DN24),"")</f>
        <v/>
      </c>
      <c r="DP24" t="str" cm="1">
        <f t="array" ref="DP24">INDEX('Energy 325'!$B:$B,$DN24)</f>
        <v>2:32</v>
      </c>
      <c r="DQ24" cm="1">
        <f t="array" ref="DQ24">INDEX('Energy 325'!$Q:$Q,$DN24)</f>
        <v>48.609000000000002</v>
      </c>
      <c r="DR24" cm="1">
        <f t="array" ref="DR24">INDEX('Energy 325'!$R:$R,$DN24)</f>
        <v>9.6170000000000009</v>
      </c>
      <c r="DU24" t="str" cm="1">
        <f t="array" ref="DU24">INDEX('Energy 325'!$B:$B,$DN24)</f>
        <v>2:32</v>
      </c>
      <c r="DV24" cm="1">
        <f t="array" ref="DV24">INDEX('Energy 325'!$N:$N,$DN24)</f>
        <v>114.682</v>
      </c>
      <c r="DW24" cm="1">
        <f t="array" ref="DW24">INDEX('Energy 325'!$O:$O,$DN24)</f>
        <v>22.69</v>
      </c>
    </row>
    <row r="25" spans="71:127" x14ac:dyDescent="0.35">
      <c r="BS25" t="str">
        <f>Energy!B25</f>
        <v>2:8</v>
      </c>
      <c r="BT25" t="str">
        <f>Energy!F25</f>
        <v>768x768</v>
      </c>
      <c r="BU25">
        <f>Energy!Q25</f>
        <v>209.4</v>
      </c>
      <c r="BV25">
        <f>Energy!R25</f>
        <v>36.387999999999998</v>
      </c>
      <c r="BX25">
        <f t="shared" si="9"/>
        <v>60</v>
      </c>
      <c r="BY25" t="str" cm="1">
        <f t="array" ref="BY25">IF(MOD(ROW()-2,6)=2,INDEX(Energy!$F:$F,$BX25),"")</f>
        <v/>
      </c>
      <c r="BZ25" t="str" cm="1">
        <f t="array" ref="BZ25">INDEX(Energy!$B:$B,$BX25)</f>
        <v>MIXED</v>
      </c>
      <c r="CA25" cm="1">
        <f t="array" ref="CA25">INDEX(Energy!$Q:$Q,$BX25)</f>
        <v>188.971</v>
      </c>
      <c r="CB25" cm="1">
        <f t="array" ref="CB25">INDEX(Energy!$R:$R,$BX25)</f>
        <v>35.848999999999997</v>
      </c>
      <c r="CE25" t="str" cm="1">
        <f t="array" ref="CE25">INDEX(Energy!$B:$B,$BX25)</f>
        <v>MIXED</v>
      </c>
      <c r="CF25" cm="1">
        <f t="array" ref="CF25">INDEX(Energy!$N:$N,$BX25)</f>
        <v>445.83800000000002</v>
      </c>
      <c r="CG25" cm="1">
        <f t="array" ref="CG25">INDEX(Energy!$O:$O,$BX25)</f>
        <v>84.578000000000003</v>
      </c>
      <c r="DN25">
        <f t="shared" si="10"/>
        <v>60</v>
      </c>
      <c r="DO25" t="str" cm="1">
        <f t="array" ref="DO25">IF(MOD(ROW()-2,6)=2,INDEX('Energy 325'!$F:$F,$DN25),"")</f>
        <v/>
      </c>
      <c r="DP25" t="str" cm="1">
        <f t="array" ref="DP25">INDEX('Energy 325'!$B:$B,$DN25)</f>
        <v>MIXED</v>
      </c>
      <c r="DQ25" cm="1">
        <f t="array" ref="DQ25">INDEX('Energy 325'!$Q:$Q,$DN25)</f>
        <v>177.19499999999999</v>
      </c>
      <c r="DR25" cm="1">
        <f t="array" ref="DR25">INDEX('Energy 325'!$R:$R,$DN25)</f>
        <v>32.031999999999996</v>
      </c>
      <c r="DU25" t="str" cm="1">
        <f t="array" ref="DU25">INDEX('Energy 325'!$B:$B,$DN25)</f>
        <v>MIXED</v>
      </c>
      <c r="DV25" cm="1">
        <f t="array" ref="DV25">INDEX('Energy 325'!$N:$N,$DN25)</f>
        <v>418.05500000000001</v>
      </c>
      <c r="DW25" cm="1">
        <f t="array" ref="DW25">INDEX('Energy 325'!$O:$O,$DN25)</f>
        <v>75.572999999999993</v>
      </c>
    </row>
    <row r="26" spans="71:127" x14ac:dyDescent="0.35">
      <c r="BS26" t="str">
        <f>Energy!B26</f>
        <v>2:8</v>
      </c>
      <c r="BT26" t="str">
        <f>Energy!F26</f>
        <v>1024x1024</v>
      </c>
      <c r="BU26">
        <f>Energy!Q26</f>
        <v>209.28800000000001</v>
      </c>
      <c r="BV26">
        <f>Energy!R26</f>
        <v>36.368000000000002</v>
      </c>
      <c r="BX26">
        <f t="shared" si="9"/>
        <v>6</v>
      </c>
      <c r="BY26" t="str" cm="1">
        <f t="array" ref="BY26">IF(MOD(ROW()-2,6)=2,INDEX(Energy!$F:$F,$BX26),"")</f>
        <v/>
      </c>
      <c r="BZ26" t="str" cm="1">
        <f t="array" ref="BZ26">INDEX(Energy!$B:$B,$BX26)</f>
        <v>dense</v>
      </c>
      <c r="CA26" cm="1">
        <f t="array" ref="CA26">INDEX(Energy!$Q:$Q,$BX26)</f>
        <v>740.39499999999998</v>
      </c>
      <c r="CB26" cm="1">
        <f t="array" ref="CB26">INDEX(Energy!$R:$R,$BX26)</f>
        <v>118.819</v>
      </c>
      <c r="CD26" t="s">
        <v>75</v>
      </c>
      <c r="CE26" t="str" cm="1">
        <f t="array" ref="CE26">INDEX(Energy!$B:$B,$BX26)</f>
        <v>dense</v>
      </c>
      <c r="CF26" cm="1">
        <f t="array" ref="CF26">INDEX(Energy!$N:$N,$BX26)</f>
        <v>1746.8119999999999</v>
      </c>
      <c r="CG26" cm="1">
        <f t="array" ref="CG26">INDEX(Energy!$O:$O,$BX26)</f>
        <v>280.33</v>
      </c>
      <c r="DN26">
        <f t="shared" si="10"/>
        <v>6</v>
      </c>
      <c r="DO26" t="str" cm="1">
        <f t="array" ref="DO26">IF(MOD(ROW()-2,6)=2,INDEX('Energy 325'!$F:$F,$DN26),"")</f>
        <v/>
      </c>
      <c r="DP26" t="str" cm="1">
        <f t="array" ref="DP26">INDEX('Energy 325'!$B:$B,$DN26)</f>
        <v>dense</v>
      </c>
      <c r="DQ26" cm="1">
        <f t="array" ref="DQ26">INDEX('Energy 325'!$Q:$Q,$DN26)</f>
        <v>679.96500000000003</v>
      </c>
      <c r="DR26" cm="1">
        <f t="array" ref="DR26">INDEX('Energy 325'!$R:$R,$DN26)</f>
        <v>116.697</v>
      </c>
      <c r="DT26" t="s">
        <v>75</v>
      </c>
      <c r="DU26" t="str" cm="1">
        <f t="array" ref="DU26">INDEX('Energy 325'!$B:$B,$DN26)</f>
        <v>dense</v>
      </c>
      <c r="DV26" cm="1">
        <f t="array" ref="DV26">INDEX('Energy 325'!$N:$N,$DN26)</f>
        <v>1604.239</v>
      </c>
      <c r="DW26" cm="1">
        <f t="array" ref="DW26">INDEX('Energy 325'!$O:$O,$DN26)</f>
        <v>275.322</v>
      </c>
    </row>
    <row r="27" spans="71:127" x14ac:dyDescent="0.35">
      <c r="BS27" t="str">
        <f>Energy!B27</f>
        <v>2:8</v>
      </c>
      <c r="BT27" t="str">
        <f>Energy!F27</f>
        <v>3072x768</v>
      </c>
      <c r="BU27">
        <f>Energy!Q27</f>
        <v>208.69</v>
      </c>
      <c r="BV27">
        <f>Energy!R27</f>
        <v>36.265000000000001</v>
      </c>
      <c r="BX27">
        <f t="shared" si="9"/>
        <v>17</v>
      </c>
      <c r="BY27" t="str" cm="1">
        <f t="array" ref="BY27">IF(MOD(ROW()-2,6)=2,INDEX(Energy!$F:$F,$BX27),"")</f>
        <v/>
      </c>
      <c r="BZ27" t="str" cm="1">
        <f t="array" ref="BZ27">INDEX(Energy!$B:$B,$BX27)</f>
        <v>2:4</v>
      </c>
      <c r="CA27" cm="1">
        <f t="array" ref="CA27">INDEX(Energy!$Q:$Q,$BX27)</f>
        <v>415.46300000000002</v>
      </c>
      <c r="CB27" cm="1">
        <f t="array" ref="CB27">INDEX(Energy!$R:$R,$BX27)</f>
        <v>69.662999999999997</v>
      </c>
      <c r="CE27" t="str" cm="1">
        <f t="array" ref="CE27">INDEX(Energy!$B:$B,$BX27)</f>
        <v>2:4</v>
      </c>
      <c r="CF27" cm="1">
        <f t="array" ref="CF27">INDEX(Energy!$N:$N,$BX27)</f>
        <v>980.2</v>
      </c>
      <c r="CG27" cm="1">
        <f t="array" ref="CG27">INDEX(Energy!$O:$O,$BX27)</f>
        <v>164.35499999999999</v>
      </c>
      <c r="DN27">
        <f t="shared" si="10"/>
        <v>17</v>
      </c>
      <c r="DO27" t="str" cm="1">
        <f t="array" ref="DO27">IF(MOD(ROW()-2,6)=2,INDEX('Energy 325'!$F:$F,$DN27),"")</f>
        <v/>
      </c>
      <c r="DP27" t="str" cm="1">
        <f t="array" ref="DP27">INDEX('Energy 325'!$B:$B,$DN27)</f>
        <v>2:4</v>
      </c>
      <c r="DQ27" cm="1">
        <f t="array" ref="DQ27">INDEX('Energy 325'!$Q:$Q,$DN27)</f>
        <v>371.11599999999999</v>
      </c>
      <c r="DR27" cm="1">
        <f t="array" ref="DR27">INDEX('Energy 325'!$R:$R,$DN27)</f>
        <v>71.712999999999994</v>
      </c>
      <c r="DU27" t="str" cm="1">
        <f t="array" ref="DU27">INDEX('Energy 325'!$B:$B,$DN27)</f>
        <v>2:4</v>
      </c>
      <c r="DV27" cm="1">
        <f t="array" ref="DV27">INDEX('Energy 325'!$N:$N,$DN27)</f>
        <v>875.572</v>
      </c>
      <c r="DW27" cm="1">
        <f t="array" ref="DW27">INDEX('Energy 325'!$O:$O,$DN27)</f>
        <v>169.19300000000001</v>
      </c>
    </row>
    <row r="28" spans="71:127" x14ac:dyDescent="0.35">
      <c r="BS28" t="str">
        <f>Energy!B28</f>
        <v>2:8</v>
      </c>
      <c r="BT28" t="str">
        <f>Energy!F28</f>
        <v>768x3072</v>
      </c>
      <c r="BU28">
        <f>Energy!Q28</f>
        <v>206.44300000000001</v>
      </c>
      <c r="BV28">
        <f>Energy!R28</f>
        <v>35.874000000000002</v>
      </c>
      <c r="BX28">
        <f t="shared" si="9"/>
        <v>28</v>
      </c>
      <c r="BY28" t="str" cm="1">
        <f t="array" ref="BY28">IF(MOD(ROW()-2,6)=2,INDEX(Energy!$F:$F,$BX28),"")</f>
        <v>768x3072</v>
      </c>
      <c r="BZ28" t="str" cm="1">
        <f t="array" ref="BZ28">INDEX(Energy!$B:$B,$BX28)</f>
        <v>2:8</v>
      </c>
      <c r="CA28" cm="1">
        <f t="array" ref="CA28">INDEX(Energy!$Q:$Q,$BX28)</f>
        <v>206.44300000000001</v>
      </c>
      <c r="CB28" cm="1">
        <f t="array" ref="CB28">INDEX(Energy!$R:$R,$BX28)</f>
        <v>35.874000000000002</v>
      </c>
      <c r="CE28" t="str" cm="1">
        <f t="array" ref="CE28">INDEX(Energy!$B:$B,$BX28)</f>
        <v>2:8</v>
      </c>
      <c r="CF28" cm="1">
        <f t="array" ref="CF28">INDEX(Energy!$N:$N,$BX28)</f>
        <v>487.06099999999998</v>
      </c>
      <c r="CG28" cm="1">
        <f t="array" ref="CG28">INDEX(Energy!$O:$O,$BX28)</f>
        <v>84.638000000000005</v>
      </c>
      <c r="DN28">
        <f t="shared" si="10"/>
        <v>28</v>
      </c>
      <c r="DO28" t="str" cm="1">
        <f t="array" ref="DO28">IF(MOD(ROW()-2,6)=2,INDEX('Energy 325'!$F:$F,$DN28),"")</f>
        <v>768x3072</v>
      </c>
      <c r="DP28" t="str" cm="1">
        <f t="array" ref="DP28">INDEX('Energy 325'!$B:$B,$DN28)</f>
        <v>2:8</v>
      </c>
      <c r="DQ28" cm="1">
        <f t="array" ref="DQ28">INDEX('Energy 325'!$Q:$Q,$DN28)</f>
        <v>188.905</v>
      </c>
      <c r="DR28" cm="1">
        <f t="array" ref="DR28">INDEX('Energy 325'!$R:$R,$DN28)</f>
        <v>33.116999999999997</v>
      </c>
      <c r="DU28" t="str" cm="1">
        <f t="array" ref="DU28">INDEX('Energy 325'!$B:$B,$DN28)</f>
        <v>2:8</v>
      </c>
      <c r="DV28" cm="1">
        <f t="array" ref="DV28">INDEX('Energy 325'!$N:$N,$DN28)</f>
        <v>445.68200000000002</v>
      </c>
      <c r="DW28" cm="1">
        <f t="array" ref="DW28">INDEX('Energy 325'!$O:$O,$DN28)</f>
        <v>78.132000000000005</v>
      </c>
    </row>
    <row r="29" spans="71:127" x14ac:dyDescent="0.35">
      <c r="BS29" t="str">
        <f>Energy!B29</f>
        <v>2:8</v>
      </c>
      <c r="BT29" t="str">
        <f>Energy!F29</f>
        <v>4096x1024</v>
      </c>
      <c r="BU29">
        <f>Energy!Q29</f>
        <v>207.66399999999999</v>
      </c>
      <c r="BV29">
        <f>Energy!R29</f>
        <v>36.085999999999999</v>
      </c>
      <c r="BX29">
        <f t="shared" si="9"/>
        <v>39</v>
      </c>
      <c r="BY29" t="str" cm="1">
        <f t="array" ref="BY29">IF(MOD(ROW()-2,6)=2,INDEX(Energy!$F:$F,$BX29),"")</f>
        <v/>
      </c>
      <c r="BZ29" t="str" cm="1">
        <f t="array" ref="BZ29">INDEX(Energy!$B:$B,$BX29)</f>
        <v>2:16</v>
      </c>
      <c r="CA29" cm="1">
        <f t="array" ref="CA29">INDEX(Energy!$Q:$Q,$BX29)</f>
        <v>101.738</v>
      </c>
      <c r="CB29" cm="1">
        <f t="array" ref="CB29">INDEX(Energy!$R:$R,$BX29)</f>
        <v>18.356999999999999</v>
      </c>
      <c r="CE29" t="str" cm="1">
        <f t="array" ref="CE29">INDEX(Energy!$B:$B,$BX29)</f>
        <v>2:16</v>
      </c>
      <c r="CF29" cm="1">
        <f t="array" ref="CF29">INDEX(Energy!$N:$N,$BX29)</f>
        <v>240.03100000000001</v>
      </c>
      <c r="CG29" cm="1">
        <f t="array" ref="CG29">INDEX(Energy!$O:$O,$BX29)</f>
        <v>43.31</v>
      </c>
      <c r="DN29">
        <f t="shared" si="10"/>
        <v>39</v>
      </c>
      <c r="DO29" t="str" cm="1">
        <f t="array" ref="DO29">IF(MOD(ROW()-2,6)=2,INDEX('Energy 325'!$F:$F,$DN29),"")</f>
        <v/>
      </c>
      <c r="DP29" t="str" cm="1">
        <f t="array" ref="DP29">INDEX('Energy 325'!$B:$B,$DN29)</f>
        <v>2:16</v>
      </c>
      <c r="DQ29" cm="1">
        <f t="array" ref="DQ29">INDEX('Energy 325'!$Q:$Q,$DN29)</f>
        <v>94.715999999999994</v>
      </c>
      <c r="DR29" cm="1">
        <f t="array" ref="DR29">INDEX('Energy 325'!$R:$R,$DN29)</f>
        <v>18.45</v>
      </c>
      <c r="DU29" t="str" cm="1">
        <f t="array" ref="DU29">INDEX('Energy 325'!$B:$B,$DN29)</f>
        <v>2:16</v>
      </c>
      <c r="DV29" cm="1">
        <f t="array" ref="DV29">INDEX('Energy 325'!$N:$N,$DN29)</f>
        <v>223.46299999999999</v>
      </c>
      <c r="DW29" cm="1">
        <f t="array" ref="DW29">INDEX('Energy 325'!$O:$O,$DN29)</f>
        <v>43.529000000000003</v>
      </c>
    </row>
    <row r="30" spans="71:127" x14ac:dyDescent="0.35">
      <c r="BS30" t="str">
        <f>Energy!B30</f>
        <v>2:8</v>
      </c>
      <c r="BT30" t="str">
        <f>Energy!F30</f>
        <v>1024x4096</v>
      </c>
      <c r="BU30">
        <f>Energy!Q30</f>
        <v>206.99799999999999</v>
      </c>
      <c r="BV30">
        <f>Energy!R30</f>
        <v>35.97</v>
      </c>
      <c r="BX30">
        <f t="shared" si="9"/>
        <v>50</v>
      </c>
      <c r="BY30" t="str" cm="1">
        <f t="array" ref="BY30">IF(MOD(ROW()-2,6)=2,INDEX(Energy!$F:$F,$BX30),"")</f>
        <v/>
      </c>
      <c r="BZ30" t="str" cm="1">
        <f t="array" ref="BZ30">INDEX(Energy!$B:$B,$BX30)</f>
        <v>2:32</v>
      </c>
      <c r="CA30" cm="1">
        <f t="array" ref="CA30">INDEX(Energy!$Q:$Q,$BX30)</f>
        <v>50.899000000000001</v>
      </c>
      <c r="CB30" cm="1">
        <f t="array" ref="CB30">INDEX(Energy!$R:$R,$BX30)</f>
        <v>9.0709999999999997</v>
      </c>
      <c r="CE30" t="str" cm="1">
        <f t="array" ref="CE30">INDEX(Energy!$B:$B,$BX30)</f>
        <v>2:32</v>
      </c>
      <c r="CF30" cm="1">
        <f t="array" ref="CF30">INDEX(Energy!$N:$N,$BX30)</f>
        <v>120.08499999999999</v>
      </c>
      <c r="CG30" cm="1">
        <f t="array" ref="CG30">INDEX(Energy!$O:$O,$BX30)</f>
        <v>21.4</v>
      </c>
      <c r="DN30">
        <f t="shared" si="10"/>
        <v>50</v>
      </c>
      <c r="DO30" t="str" cm="1">
        <f t="array" ref="DO30">IF(MOD(ROW()-2,6)=2,INDEX('Energy 325'!$F:$F,$DN30),"")</f>
        <v/>
      </c>
      <c r="DP30" t="str" cm="1">
        <f t="array" ref="DP30">INDEX('Energy 325'!$B:$B,$DN30)</f>
        <v>2:32</v>
      </c>
      <c r="DQ30" cm="1">
        <f t="array" ref="DQ30">INDEX('Energy 325'!$Q:$Q,$DN30)</f>
        <v>47.21</v>
      </c>
      <c r="DR30" cm="1">
        <f t="array" ref="DR30">INDEX('Energy 325'!$R:$R,$DN30)</f>
        <v>9.34</v>
      </c>
      <c r="DU30" t="str" cm="1">
        <f t="array" ref="DU30">INDEX('Energy 325'!$B:$B,$DN30)</f>
        <v>2:32</v>
      </c>
      <c r="DV30" cm="1">
        <f t="array" ref="DV30">INDEX('Energy 325'!$N:$N,$DN30)</f>
        <v>111.38200000000001</v>
      </c>
      <c r="DW30" cm="1">
        <f t="array" ref="DW30">INDEX('Energy 325'!$O:$O,$DN30)</f>
        <v>22.036999999999999</v>
      </c>
    </row>
    <row r="31" spans="71:127" x14ac:dyDescent="0.35">
      <c r="BS31" t="str">
        <f>Energy!B31</f>
        <v>2:8</v>
      </c>
      <c r="BT31" t="str">
        <f>Energy!F31</f>
        <v>2048x2048</v>
      </c>
      <c r="BU31">
        <f>Energy!Q31</f>
        <v>207.31899999999999</v>
      </c>
      <c r="BV31">
        <f>Energy!R31</f>
        <v>36.026000000000003</v>
      </c>
      <c r="BX31">
        <f t="shared" si="9"/>
        <v>61</v>
      </c>
      <c r="BY31" t="str" cm="1">
        <f t="array" ref="BY31">IF(MOD(ROW()-2,6)=2,INDEX(Energy!$F:$F,$BX31),"")</f>
        <v/>
      </c>
      <c r="BZ31" t="str" cm="1">
        <f t="array" ref="BZ31">INDEX(Energy!$B:$B,$BX31)</f>
        <v>MIXED</v>
      </c>
      <c r="CA31" cm="1">
        <f t="array" ref="CA31">INDEX(Energy!$Q:$Q,$BX31)</f>
        <v>188.58699999999999</v>
      </c>
      <c r="CB31" cm="1">
        <f t="array" ref="CB31">INDEX(Energy!$R:$R,$BX31)</f>
        <v>35.776000000000003</v>
      </c>
      <c r="CE31" t="str" cm="1">
        <f t="array" ref="CE31">INDEX(Energy!$B:$B,$BX31)</f>
        <v>MIXED</v>
      </c>
      <c r="CF31" cm="1">
        <f t="array" ref="CF31">INDEX(Energy!$N:$N,$BX31)</f>
        <v>444.93299999999999</v>
      </c>
      <c r="CG31" cm="1">
        <f t="array" ref="CG31">INDEX(Energy!$O:$O,$BX31)</f>
        <v>84.406000000000006</v>
      </c>
      <c r="DN31">
        <f t="shared" si="10"/>
        <v>61</v>
      </c>
      <c r="DO31" t="str" cm="1">
        <f t="array" ref="DO31">IF(MOD(ROW()-2,6)=2,INDEX('Energy 325'!$F:$F,$DN31),"")</f>
        <v/>
      </c>
      <c r="DP31" t="str" cm="1">
        <f t="array" ref="DP31">INDEX('Energy 325'!$B:$B,$DN31)</f>
        <v>MIXED</v>
      </c>
      <c r="DQ31" cm="1">
        <f t="array" ref="DQ31">INDEX('Energy 325'!$Q:$Q,$DN31)</f>
        <v>177.40799999999999</v>
      </c>
      <c r="DR31" cm="1">
        <f t="array" ref="DR31">INDEX('Energy 325'!$R:$R,$DN31)</f>
        <v>32.07</v>
      </c>
      <c r="DU31" t="str" cm="1">
        <f t="array" ref="DU31">INDEX('Energy 325'!$B:$B,$DN31)</f>
        <v>MIXED</v>
      </c>
      <c r="DV31" cm="1">
        <f t="array" ref="DV31">INDEX('Energy 325'!$N:$N,$DN31)</f>
        <v>418.55799999999999</v>
      </c>
      <c r="DW31" cm="1">
        <f t="array" ref="DW31">INDEX('Energy 325'!$O:$O,$DN31)</f>
        <v>75.664000000000001</v>
      </c>
    </row>
    <row r="32" spans="71:127" x14ac:dyDescent="0.35">
      <c r="BS32" t="str">
        <f>Energy!B32</f>
        <v>2:8</v>
      </c>
      <c r="BT32" t="str">
        <f>Energy!F32</f>
        <v>4096x4096</v>
      </c>
      <c r="BU32">
        <f>Energy!Q32</f>
        <v>207.60300000000001</v>
      </c>
      <c r="BV32">
        <f>Energy!R32</f>
        <v>36.076000000000001</v>
      </c>
      <c r="BX32">
        <f t="shared" si="9"/>
        <v>7</v>
      </c>
      <c r="BY32" t="str" cm="1">
        <f t="array" ref="BY32">IF(MOD(ROW()-2,6)=2,INDEX(Energy!$F:$F,$BX32),"")</f>
        <v/>
      </c>
      <c r="BZ32" t="str" cm="1">
        <f t="array" ref="BZ32">INDEX(Energy!$B:$B,$BX32)</f>
        <v>dense</v>
      </c>
      <c r="CA32" cm="1">
        <f t="array" ref="CA32">INDEX(Energy!$Q:$Q,$BX32)</f>
        <v>741.36599999999999</v>
      </c>
      <c r="CB32" cm="1">
        <f t="array" ref="CB32">INDEX(Energy!$R:$R,$BX32)</f>
        <v>118.97499999999999</v>
      </c>
      <c r="CD32" t="s">
        <v>77</v>
      </c>
      <c r="CE32" t="str" cm="1">
        <f t="array" ref="CE32">INDEX(Energy!$B:$B,$BX32)</f>
        <v>dense</v>
      </c>
      <c r="CF32" cm="1">
        <f t="array" ref="CF32">INDEX(Energy!$N:$N,$BX32)</f>
        <v>3109.5140000000001</v>
      </c>
      <c r="CG32" cm="1">
        <f t="array" ref="CG32">INDEX(Energy!$O:$O,$BX32)</f>
        <v>499.017</v>
      </c>
      <c r="DN32">
        <f t="shared" si="10"/>
        <v>7</v>
      </c>
      <c r="DO32" t="str" cm="1">
        <f t="array" ref="DO32">IF(MOD(ROW()-2,6)=2,INDEX('Energy 325'!$F:$F,$DN32),"")</f>
        <v/>
      </c>
      <c r="DP32" t="str" cm="1">
        <f t="array" ref="DP32">INDEX('Energy 325'!$B:$B,$DN32)</f>
        <v>dense</v>
      </c>
      <c r="DQ32" cm="1">
        <f t="array" ref="DQ32">INDEX('Energy 325'!$Q:$Q,$DN32)</f>
        <v>678.27200000000005</v>
      </c>
      <c r="DR32" cm="1">
        <f t="array" ref="DR32">INDEX('Energy 325'!$R:$R,$DN32)</f>
        <v>116.40600000000001</v>
      </c>
      <c r="DT32" t="s">
        <v>77</v>
      </c>
      <c r="DU32" t="str" cm="1">
        <f t="array" ref="DU32">INDEX('Energy 325'!$B:$B,$DN32)</f>
        <v>dense</v>
      </c>
      <c r="DV32" cm="1">
        <f t="array" ref="DV32">INDEX('Energy 325'!$N:$N,$DN32)</f>
        <v>2844.88</v>
      </c>
      <c r="DW32" cm="1">
        <f t="array" ref="DW32">INDEX('Energy 325'!$O:$O,$DN32)</f>
        <v>488.24299999999999</v>
      </c>
    </row>
    <row r="33" spans="71:127" x14ac:dyDescent="0.35">
      <c r="BS33" t="str">
        <f>Energy!B33</f>
        <v>2:8</v>
      </c>
      <c r="BT33" t="str">
        <f>Energy!F33</f>
        <v>8192x2048</v>
      </c>
      <c r="BU33">
        <f>Energy!Q33</f>
        <v>207.559</v>
      </c>
      <c r="BV33">
        <f>Energy!R33</f>
        <v>36.067999999999998</v>
      </c>
      <c r="BX33">
        <f t="shared" si="9"/>
        <v>18</v>
      </c>
      <c r="BY33" t="str" cm="1">
        <f t="array" ref="BY33">IF(MOD(ROW()-2,6)=2,INDEX(Energy!$F:$F,$BX33),"")</f>
        <v/>
      </c>
      <c r="BZ33" t="str" cm="1">
        <f t="array" ref="BZ33">INDEX(Energy!$B:$B,$BX33)</f>
        <v>2:4</v>
      </c>
      <c r="CA33" cm="1">
        <f t="array" ref="CA33">INDEX(Energy!$Q:$Q,$BX33)</f>
        <v>412.46100000000001</v>
      </c>
      <c r="CB33" cm="1">
        <f t="array" ref="CB33">INDEX(Energy!$R:$R,$BX33)</f>
        <v>69.159000000000006</v>
      </c>
      <c r="CE33" t="str" cm="1">
        <f t="array" ref="CE33">INDEX(Energy!$B:$B,$BX33)</f>
        <v>2:4</v>
      </c>
      <c r="CF33" cm="1">
        <f t="array" ref="CF33">INDEX(Energy!$N:$N,$BX33)</f>
        <v>1729.9849999999999</v>
      </c>
      <c r="CG33" cm="1">
        <f t="array" ref="CG33">INDEX(Energy!$O:$O,$BX33)</f>
        <v>290.07499999999999</v>
      </c>
      <c r="DN33">
        <f t="shared" si="10"/>
        <v>18</v>
      </c>
      <c r="DO33" t="str" cm="1">
        <f t="array" ref="DO33">IF(MOD(ROW()-2,6)=2,INDEX('Energy 325'!$F:$F,$DN33),"")</f>
        <v/>
      </c>
      <c r="DP33" t="str" cm="1">
        <f t="array" ref="DP33">INDEX('Energy 325'!$B:$B,$DN33)</f>
        <v>2:4</v>
      </c>
      <c r="DQ33" cm="1">
        <f t="array" ref="DQ33">INDEX('Energy 325'!$Q:$Q,$DN33)</f>
        <v>374.45699999999999</v>
      </c>
      <c r="DR33" cm="1">
        <f t="array" ref="DR33">INDEX('Energy 325'!$R:$R,$DN33)</f>
        <v>72.358999999999995</v>
      </c>
      <c r="DU33" t="str" cm="1">
        <f t="array" ref="DU33">INDEX('Energy 325'!$B:$B,$DN33)</f>
        <v>2:4</v>
      </c>
      <c r="DV33" cm="1">
        <f t="array" ref="DV33">INDEX('Energy 325'!$N:$N,$DN33)</f>
        <v>1570.586</v>
      </c>
      <c r="DW33" cm="1">
        <f t="array" ref="DW33">INDEX('Energy 325'!$O:$O,$DN33)</f>
        <v>303.49599999999998</v>
      </c>
    </row>
    <row r="34" spans="71:127" x14ac:dyDescent="0.35">
      <c r="BS34" t="str">
        <f>Energy!B34</f>
        <v>2:8</v>
      </c>
      <c r="BT34" t="str">
        <f>Energy!F34</f>
        <v>2048x8192</v>
      </c>
      <c r="BU34">
        <f>Energy!Q34</f>
        <v>206.37200000000001</v>
      </c>
      <c r="BV34">
        <f>Energy!R34</f>
        <v>35.862000000000002</v>
      </c>
      <c r="BX34">
        <f t="shared" si="9"/>
        <v>29</v>
      </c>
      <c r="BY34" t="str" cm="1">
        <f t="array" ref="BY34">IF(MOD(ROW()-2,6)=2,INDEX(Energy!$F:$F,$BX34),"")</f>
        <v>4096x1024</v>
      </c>
      <c r="BZ34" t="str" cm="1">
        <f t="array" ref="BZ34">INDEX(Energy!$B:$B,$BX34)</f>
        <v>2:8</v>
      </c>
      <c r="CA34" cm="1">
        <f t="array" ref="CA34">INDEX(Energy!$Q:$Q,$BX34)</f>
        <v>207.66399999999999</v>
      </c>
      <c r="CB34" cm="1">
        <f t="array" ref="CB34">INDEX(Energy!$R:$R,$BX34)</f>
        <v>36.085999999999999</v>
      </c>
      <c r="CE34" t="str" cm="1">
        <f t="array" ref="CE34">INDEX(Energy!$B:$B,$BX34)</f>
        <v>2:8</v>
      </c>
      <c r="CF34" cm="1">
        <f t="array" ref="CF34">INDEX(Energy!$N:$N,$BX34)</f>
        <v>871.00699999999995</v>
      </c>
      <c r="CG34" cm="1">
        <f t="array" ref="CG34">INDEX(Energy!$O:$O,$BX34)</f>
        <v>151.357</v>
      </c>
      <c r="DN34">
        <f t="shared" si="10"/>
        <v>29</v>
      </c>
      <c r="DO34" t="str" cm="1">
        <f t="array" ref="DO34">IF(MOD(ROW()-2,6)=2,INDEX('Energy 325'!$F:$F,$DN34),"")</f>
        <v>4096x1024</v>
      </c>
      <c r="DP34" t="str" cm="1">
        <f t="array" ref="DP34">INDEX('Energy 325'!$B:$B,$DN34)</f>
        <v>2:8</v>
      </c>
      <c r="DQ34" cm="1">
        <f t="array" ref="DQ34">INDEX('Energy 325'!$Q:$Q,$DN34)</f>
        <v>189.68199999999999</v>
      </c>
      <c r="DR34" cm="1">
        <f t="array" ref="DR34">INDEX('Energy 325'!$R:$R,$DN34)</f>
        <v>33.253</v>
      </c>
      <c r="DU34" t="str" cm="1">
        <f t="array" ref="DU34">INDEX('Energy 325'!$B:$B,$DN34)</f>
        <v>2:8</v>
      </c>
      <c r="DV34" cm="1">
        <f t="array" ref="DV34">INDEX('Energy 325'!$N:$N,$DN34)</f>
        <v>795.58500000000004</v>
      </c>
      <c r="DW34" cm="1">
        <f t="array" ref="DW34">INDEX('Energy 325'!$O:$O,$DN34)</f>
        <v>139.47300000000001</v>
      </c>
    </row>
    <row r="35" spans="71:127" x14ac:dyDescent="0.35">
      <c r="BS35" t="str">
        <f>Energy!B35</f>
        <v>2:16</v>
      </c>
      <c r="BT35" t="str">
        <f>Energy!F35</f>
        <v>512x512</v>
      </c>
      <c r="BU35">
        <f>Energy!Q35</f>
        <v>105.71899999999999</v>
      </c>
      <c r="BV35">
        <f>Energy!R35</f>
        <v>19.074999999999999</v>
      </c>
      <c r="BX35">
        <f t="shared" si="9"/>
        <v>40</v>
      </c>
      <c r="BY35" t="str" cm="1">
        <f t="array" ref="BY35">IF(MOD(ROW()-2,6)=2,INDEX(Energy!$F:$F,$BX35),"")</f>
        <v/>
      </c>
      <c r="BZ35" t="str" cm="1">
        <f t="array" ref="BZ35">INDEX(Energy!$B:$B,$BX35)</f>
        <v>2:16</v>
      </c>
      <c r="CA35" cm="1">
        <f t="array" ref="CA35">INDEX(Energy!$Q:$Q,$BX35)</f>
        <v>103.377</v>
      </c>
      <c r="CB35" cm="1">
        <f t="array" ref="CB35">INDEX(Energy!$R:$R,$BX35)</f>
        <v>18.652999999999999</v>
      </c>
      <c r="CE35" t="str" cm="1">
        <f t="array" ref="CE35">INDEX(Energy!$B:$B,$BX35)</f>
        <v>2:16</v>
      </c>
      <c r="CF35" cm="1">
        <f t="array" ref="CF35">INDEX(Energy!$N:$N,$BX35)</f>
        <v>433.59500000000003</v>
      </c>
      <c r="CG35" cm="1">
        <f t="array" ref="CG35">INDEX(Energy!$O:$O,$BX35)</f>
        <v>78.236000000000004</v>
      </c>
      <c r="DN35">
        <f t="shared" si="10"/>
        <v>40</v>
      </c>
      <c r="DO35" t="str" cm="1">
        <f t="array" ref="DO35">IF(MOD(ROW()-2,6)=2,INDEX('Energy 325'!$F:$F,$DN35),"")</f>
        <v/>
      </c>
      <c r="DP35" t="str" cm="1">
        <f t="array" ref="DP35">INDEX('Energy 325'!$B:$B,$DN35)</f>
        <v>2:16</v>
      </c>
      <c r="DQ35" cm="1">
        <f t="array" ref="DQ35">INDEX('Energy 325'!$Q:$Q,$DN35)</f>
        <v>94.448999999999998</v>
      </c>
      <c r="DR35" cm="1">
        <f t="array" ref="DR35">INDEX('Energy 325'!$R:$R,$DN35)</f>
        <v>18.398</v>
      </c>
      <c r="DU35" t="str" cm="1">
        <f t="array" ref="DU35">INDEX('Energy 325'!$B:$B,$DN35)</f>
        <v>2:16</v>
      </c>
      <c r="DV35" cm="1">
        <f t="array" ref="DV35">INDEX('Energy 325'!$N:$N,$DN35)</f>
        <v>396.14699999999999</v>
      </c>
      <c r="DW35" cm="1">
        <f t="array" ref="DW35">INDEX('Energy 325'!$O:$O,$DN35)</f>
        <v>77.167000000000002</v>
      </c>
    </row>
    <row r="36" spans="71:127" x14ac:dyDescent="0.35">
      <c r="BS36" t="str">
        <f>Energy!B36</f>
        <v>2:16</v>
      </c>
      <c r="BT36" t="str">
        <f>Energy!F36</f>
        <v>768x768</v>
      </c>
      <c r="BU36">
        <f>Energy!Q36</f>
        <v>105.038</v>
      </c>
      <c r="BV36">
        <f>Energy!R36</f>
        <v>18.952999999999999</v>
      </c>
      <c r="BX36">
        <f t="shared" si="9"/>
        <v>51</v>
      </c>
      <c r="BY36" t="str" cm="1">
        <f t="array" ref="BY36">IF(MOD(ROW()-2,6)=2,INDEX(Energy!$F:$F,$BX36),"")</f>
        <v/>
      </c>
      <c r="BZ36" t="str" cm="1">
        <f t="array" ref="BZ36">INDEX(Energy!$B:$B,$BX36)</f>
        <v>2:32</v>
      </c>
      <c r="CA36" cm="1">
        <f t="array" ref="CA36">INDEX(Energy!$Q:$Q,$BX36)</f>
        <v>52.36</v>
      </c>
      <c r="CB36" cm="1">
        <f t="array" ref="CB36">INDEX(Energy!$R:$R,$BX36)</f>
        <v>9.3309999999999995</v>
      </c>
      <c r="CE36" t="str" cm="1">
        <f t="array" ref="CE36">INDEX(Energy!$B:$B,$BX36)</f>
        <v>2:32</v>
      </c>
      <c r="CF36" cm="1">
        <f t="array" ref="CF36">INDEX(Energy!$N:$N,$BX36)</f>
        <v>219.61600000000001</v>
      </c>
      <c r="CG36" cm="1">
        <f t="array" ref="CG36">INDEX(Energy!$O:$O,$BX36)</f>
        <v>39.137</v>
      </c>
      <c r="DN36">
        <f t="shared" si="10"/>
        <v>51</v>
      </c>
      <c r="DO36" t="str" cm="1">
        <f t="array" ref="DO36">IF(MOD(ROW()-2,6)=2,INDEX('Energy 325'!$F:$F,$DN36),"")</f>
        <v/>
      </c>
      <c r="DP36" t="str" cm="1">
        <f t="array" ref="DP36">INDEX('Energy 325'!$B:$B,$DN36)</f>
        <v>2:32</v>
      </c>
      <c r="DQ36" cm="1">
        <f t="array" ref="DQ36">INDEX('Energy 325'!$Q:$Q,$DN36)</f>
        <v>48.128</v>
      </c>
      <c r="DR36" cm="1">
        <f t="array" ref="DR36">INDEX('Energy 325'!$R:$R,$DN36)</f>
        <v>9.5220000000000002</v>
      </c>
      <c r="DU36" t="str" cm="1">
        <f t="array" ref="DU36">INDEX('Energy 325'!$B:$B,$DN36)</f>
        <v>2:32</v>
      </c>
      <c r="DV36" cm="1">
        <f t="array" ref="DV36">INDEX('Energy 325'!$N:$N,$DN36)</f>
        <v>201.86199999999999</v>
      </c>
      <c r="DW36" cm="1">
        <f t="array" ref="DW36">INDEX('Energy 325'!$O:$O,$DN36)</f>
        <v>39.939</v>
      </c>
    </row>
    <row r="37" spans="71:127" x14ac:dyDescent="0.35">
      <c r="BS37" t="str">
        <f>Energy!B37</f>
        <v>2:16</v>
      </c>
      <c r="BT37" t="str">
        <f>Energy!F37</f>
        <v>1024x1024</v>
      </c>
      <c r="BU37">
        <f>Energy!Q37</f>
        <v>103.55200000000001</v>
      </c>
      <c r="BV37">
        <f>Energy!R37</f>
        <v>18.684000000000001</v>
      </c>
      <c r="BX37">
        <f t="shared" si="9"/>
        <v>62</v>
      </c>
      <c r="BY37" t="str" cm="1">
        <f t="array" ref="BY37">IF(MOD(ROW()-2,6)=2,INDEX(Energy!$F:$F,$BX37),"")</f>
        <v/>
      </c>
      <c r="BZ37" t="str" cm="1">
        <f t="array" ref="BZ37">INDEX(Energy!$B:$B,$BX37)</f>
        <v>MIXED</v>
      </c>
      <c r="CA37" cm="1">
        <f t="array" ref="CA37">INDEX(Energy!$Q:$Q,$BX37)</f>
        <v>189.761</v>
      </c>
      <c r="CB37" cm="1">
        <f t="array" ref="CB37">INDEX(Energy!$R:$R,$BX37)</f>
        <v>35.999000000000002</v>
      </c>
      <c r="CE37" t="str" cm="1">
        <f t="array" ref="CE37">INDEX(Energy!$B:$B,$BX37)</f>
        <v>MIXED</v>
      </c>
      <c r="CF37" cm="1">
        <f t="array" ref="CF37">INDEX(Energy!$N:$N,$BX37)</f>
        <v>795.91700000000003</v>
      </c>
      <c r="CG37" cm="1">
        <f t="array" ref="CG37">INDEX(Energy!$O:$O,$BX37)</f>
        <v>150.989</v>
      </c>
      <c r="DN37">
        <f t="shared" si="10"/>
        <v>62</v>
      </c>
      <c r="DO37" t="str" cm="1">
        <f t="array" ref="DO37">IF(MOD(ROW()-2,6)=2,INDEX('Energy 325'!$F:$F,$DN37),"")</f>
        <v/>
      </c>
      <c r="DP37" t="str" cm="1">
        <f t="array" ref="DP37">INDEX('Energy 325'!$B:$B,$DN37)</f>
        <v>MIXED</v>
      </c>
      <c r="DQ37" cm="1">
        <f t="array" ref="DQ37">INDEX('Energy 325'!$Q:$Q,$DN37)</f>
        <v>175.34299999999999</v>
      </c>
      <c r="DR37" cm="1">
        <f t="array" ref="DR37">INDEX('Energy 325'!$R:$R,$DN37)</f>
        <v>31.696999999999999</v>
      </c>
      <c r="DU37" t="str" cm="1">
        <f t="array" ref="DU37">INDEX('Energy 325'!$B:$B,$DN37)</f>
        <v>MIXED</v>
      </c>
      <c r="DV37" cm="1">
        <f t="array" ref="DV37">INDEX('Energy 325'!$N:$N,$DN37)</f>
        <v>735.44200000000001</v>
      </c>
      <c r="DW37" cm="1">
        <f t="array" ref="DW37">INDEX('Energy 325'!$O:$O,$DN37)</f>
        <v>132.94800000000001</v>
      </c>
    </row>
    <row r="38" spans="71:127" x14ac:dyDescent="0.35">
      <c r="BS38" t="str">
        <f>Energy!B38</f>
        <v>2:16</v>
      </c>
      <c r="BT38" t="str">
        <f>Energy!F38</f>
        <v>3072x768</v>
      </c>
      <c r="BU38">
        <f>Energy!Q38</f>
        <v>103.559</v>
      </c>
      <c r="BV38">
        <f>Energy!R38</f>
        <v>18.686</v>
      </c>
      <c r="BX38">
        <f t="shared" si="9"/>
        <v>8</v>
      </c>
      <c r="BY38" t="str" cm="1">
        <f t="array" ref="BY38">IF(MOD(ROW()-2,6)=2,INDEX(Energy!$F:$F,$BX38),"")</f>
        <v/>
      </c>
      <c r="BZ38" t="str" cm="1">
        <f t="array" ref="BZ38">INDEX(Energy!$B:$B,$BX38)</f>
        <v>dense</v>
      </c>
      <c r="CA38" cm="1">
        <f t="array" ref="CA38">INDEX(Energy!$Q:$Q,$BX38)</f>
        <v>737.87400000000002</v>
      </c>
      <c r="CB38" cm="1">
        <f t="array" ref="CB38">INDEX(Energy!$R:$R,$BX38)</f>
        <v>118.41500000000001</v>
      </c>
      <c r="CD38" t="s">
        <v>79</v>
      </c>
      <c r="CE38" t="str" cm="1">
        <f t="array" ref="CE38">INDEX(Energy!$B:$B,$BX38)</f>
        <v>dense</v>
      </c>
      <c r="CF38" cm="1">
        <f t="array" ref="CF38">INDEX(Energy!$N:$N,$BX38)</f>
        <v>3094.866</v>
      </c>
      <c r="CG38" cm="1">
        <f t="array" ref="CG38">INDEX(Energy!$O:$O,$BX38)</f>
        <v>496.666</v>
      </c>
      <c r="DN38">
        <f t="shared" si="10"/>
        <v>8</v>
      </c>
      <c r="DO38" t="str" cm="1">
        <f t="array" ref="DO38">IF(MOD(ROW()-2,6)=2,INDEX('Energy 325'!$F:$F,$DN38),"")</f>
        <v/>
      </c>
      <c r="DP38" t="str" cm="1">
        <f t="array" ref="DP38">INDEX('Energy 325'!$B:$B,$DN38)</f>
        <v>dense</v>
      </c>
      <c r="DQ38" cm="1">
        <f t="array" ref="DQ38">INDEX('Energy 325'!$Q:$Q,$DN38)</f>
        <v>678.99599999999998</v>
      </c>
      <c r="DR38" cm="1">
        <f t="array" ref="DR38">INDEX('Energy 325'!$R:$R,$DN38)</f>
        <v>116.53</v>
      </c>
      <c r="DT38" t="s">
        <v>79</v>
      </c>
      <c r="DU38" t="str" cm="1">
        <f t="array" ref="DU38">INDEX('Energy 325'!$B:$B,$DN38)</f>
        <v>dense</v>
      </c>
      <c r="DV38" cm="1">
        <f t="array" ref="DV38">INDEX('Energy 325'!$N:$N,$DN38)</f>
        <v>2847.9160000000002</v>
      </c>
      <c r="DW38" cm="1">
        <f t="array" ref="DW38">INDEX('Energy 325'!$O:$O,$DN38)</f>
        <v>488.76400000000001</v>
      </c>
    </row>
    <row r="39" spans="71:127" x14ac:dyDescent="0.35">
      <c r="BS39" t="str">
        <f>Energy!B39</f>
        <v>2:16</v>
      </c>
      <c r="BT39" t="str">
        <f>Energy!F39</f>
        <v>768x3072</v>
      </c>
      <c r="BU39">
        <f>Energy!Q39</f>
        <v>101.738</v>
      </c>
      <c r="BV39">
        <f>Energy!R39</f>
        <v>18.356999999999999</v>
      </c>
      <c r="BX39">
        <f t="shared" si="9"/>
        <v>19</v>
      </c>
      <c r="BY39" t="str" cm="1">
        <f t="array" ref="BY39">IF(MOD(ROW()-2,6)=2,INDEX(Energy!$F:$F,$BX39),"")</f>
        <v/>
      </c>
      <c r="BZ39" t="str" cm="1">
        <f t="array" ref="BZ39">INDEX(Energy!$B:$B,$BX39)</f>
        <v>2:4</v>
      </c>
      <c r="CA39" cm="1">
        <f t="array" ref="CA39">INDEX(Energy!$Q:$Q,$BX39)</f>
        <v>414.96499999999997</v>
      </c>
      <c r="CB39" cm="1">
        <f t="array" ref="CB39">INDEX(Energy!$R:$R,$BX39)</f>
        <v>69.578999999999994</v>
      </c>
      <c r="CE39" t="str" cm="1">
        <f t="array" ref="CE39">INDEX(Energy!$B:$B,$BX39)</f>
        <v>2:4</v>
      </c>
      <c r="CF39" cm="1">
        <f t="array" ref="CF39">INDEX(Energy!$N:$N,$BX39)</f>
        <v>1740.4880000000001</v>
      </c>
      <c r="CG39" cm="1">
        <f t="array" ref="CG39">INDEX(Energy!$O:$O,$BX39)</f>
        <v>291.83600000000001</v>
      </c>
      <c r="DN39">
        <f t="shared" si="10"/>
        <v>19</v>
      </c>
      <c r="DO39" t="str" cm="1">
        <f t="array" ref="DO39">IF(MOD(ROW()-2,6)=2,INDEX('Energy 325'!$F:$F,$DN39),"")</f>
        <v/>
      </c>
      <c r="DP39" t="str" cm="1">
        <f t="array" ref="DP39">INDEX('Energy 325'!$B:$B,$DN39)</f>
        <v>2:4</v>
      </c>
      <c r="DQ39" cm="1">
        <f t="array" ref="DQ39">INDEX('Energy 325'!$Q:$Q,$DN39)</f>
        <v>374.61</v>
      </c>
      <c r="DR39" cm="1">
        <f t="array" ref="DR39">INDEX('Energy 325'!$R:$R,$DN39)</f>
        <v>72.388999999999996</v>
      </c>
      <c r="DU39" t="str" cm="1">
        <f t="array" ref="DU39">INDEX('Energy 325'!$B:$B,$DN39)</f>
        <v>2:4</v>
      </c>
      <c r="DV39" cm="1">
        <f t="array" ref="DV39">INDEX('Energy 325'!$N:$N,$DN39)</f>
        <v>1571.2280000000001</v>
      </c>
      <c r="DW39" cm="1">
        <f t="array" ref="DW39">INDEX('Energy 325'!$O:$O,$DN39)</f>
        <v>303.62</v>
      </c>
    </row>
    <row r="40" spans="71:127" x14ac:dyDescent="0.35">
      <c r="BS40" t="str">
        <f>Energy!B40</f>
        <v>2:16</v>
      </c>
      <c r="BT40" t="str">
        <f>Energy!F40</f>
        <v>4096x1024</v>
      </c>
      <c r="BU40">
        <f>Energy!Q40</f>
        <v>103.377</v>
      </c>
      <c r="BV40">
        <f>Energy!R40</f>
        <v>18.652999999999999</v>
      </c>
      <c r="BX40">
        <f t="shared" si="9"/>
        <v>30</v>
      </c>
      <c r="BY40" t="str" cm="1">
        <f t="array" ref="BY40">IF(MOD(ROW()-2,6)=2,INDEX(Energy!$F:$F,$BX40),"")</f>
        <v>1024x4096</v>
      </c>
      <c r="BZ40" t="str" cm="1">
        <f t="array" ref="BZ40">INDEX(Energy!$B:$B,$BX40)</f>
        <v>2:8</v>
      </c>
      <c r="CA40" cm="1">
        <f t="array" ref="CA40">INDEX(Energy!$Q:$Q,$BX40)</f>
        <v>206.99799999999999</v>
      </c>
      <c r="CB40" cm="1">
        <f t="array" ref="CB40">INDEX(Energy!$R:$R,$BX40)</f>
        <v>35.97</v>
      </c>
      <c r="CE40" t="str" cm="1">
        <f t="array" ref="CE40">INDEX(Energy!$B:$B,$BX40)</f>
        <v>2:8</v>
      </c>
      <c r="CF40" cm="1">
        <f t="array" ref="CF40">INDEX(Energy!$N:$N,$BX40)</f>
        <v>868.21100000000001</v>
      </c>
      <c r="CG40" cm="1">
        <f t="array" ref="CG40">INDEX(Energy!$O:$O,$BX40)</f>
        <v>150.87100000000001</v>
      </c>
      <c r="DN40">
        <f t="shared" si="10"/>
        <v>30</v>
      </c>
      <c r="DO40" t="str" cm="1">
        <f t="array" ref="DO40">IF(MOD(ROW()-2,6)=2,INDEX('Energy 325'!$F:$F,$DN40),"")</f>
        <v>1024x4096</v>
      </c>
      <c r="DP40" t="str" cm="1">
        <f t="array" ref="DP40">INDEX('Energy 325'!$B:$B,$DN40)</f>
        <v>2:8</v>
      </c>
      <c r="DQ40" cm="1">
        <f t="array" ref="DQ40">INDEX('Energy 325'!$Q:$Q,$DN40)</f>
        <v>188.215</v>
      </c>
      <c r="DR40" cm="1">
        <f t="array" ref="DR40">INDEX('Energy 325'!$R:$R,$DN40)</f>
        <v>32.996000000000002</v>
      </c>
      <c r="DU40" t="str" cm="1">
        <f t="array" ref="DU40">INDEX('Energy 325'!$B:$B,$DN40)</f>
        <v>2:8</v>
      </c>
      <c r="DV40" cm="1">
        <f t="array" ref="DV40">INDEX('Energy 325'!$N:$N,$DN40)</f>
        <v>789.43100000000004</v>
      </c>
      <c r="DW40" cm="1">
        <f t="array" ref="DW40">INDEX('Energy 325'!$O:$O,$DN40)</f>
        <v>138.39400000000001</v>
      </c>
    </row>
    <row r="41" spans="71:127" x14ac:dyDescent="0.35">
      <c r="BS41" t="str">
        <f>Energy!B41</f>
        <v>2:16</v>
      </c>
      <c r="BT41" t="str">
        <f>Energy!F41</f>
        <v>1024x4096</v>
      </c>
      <c r="BU41">
        <f>Energy!Q41</f>
        <v>102.652</v>
      </c>
      <c r="BV41">
        <f>Energy!R41</f>
        <v>18.521999999999998</v>
      </c>
      <c r="BX41">
        <f t="shared" si="9"/>
        <v>41</v>
      </c>
      <c r="BY41" t="str" cm="1">
        <f t="array" ref="BY41">IF(MOD(ROW()-2,6)=2,INDEX(Energy!$F:$F,$BX41),"")</f>
        <v/>
      </c>
      <c r="BZ41" t="str" cm="1">
        <f t="array" ref="BZ41">INDEX(Energy!$B:$B,$BX41)</f>
        <v>2:16</v>
      </c>
      <c r="CA41" cm="1">
        <f t="array" ref="CA41">INDEX(Energy!$Q:$Q,$BX41)</f>
        <v>102.652</v>
      </c>
      <c r="CB41" cm="1">
        <f t="array" ref="CB41">INDEX(Energy!$R:$R,$BX41)</f>
        <v>18.521999999999998</v>
      </c>
      <c r="CE41" t="str" cm="1">
        <f t="array" ref="CE41">INDEX(Energy!$B:$B,$BX41)</f>
        <v>2:16</v>
      </c>
      <c r="CF41" cm="1">
        <f t="array" ref="CF41">INDEX(Energy!$N:$N,$BX41)</f>
        <v>430.55399999999997</v>
      </c>
      <c r="CG41" cm="1">
        <f t="array" ref="CG41">INDEX(Energy!$O:$O,$BX41)</f>
        <v>77.686999999999998</v>
      </c>
      <c r="DN41">
        <f t="shared" si="10"/>
        <v>41</v>
      </c>
      <c r="DO41" t="str" cm="1">
        <f t="array" ref="DO41">IF(MOD(ROW()-2,6)=2,INDEX('Energy 325'!$F:$F,$DN41),"")</f>
        <v/>
      </c>
      <c r="DP41" t="str" cm="1">
        <f t="array" ref="DP41">INDEX('Energy 325'!$B:$B,$DN41)</f>
        <v>2:16</v>
      </c>
      <c r="DQ41" cm="1">
        <f t="array" ref="DQ41">INDEX('Energy 325'!$Q:$Q,$DN41)</f>
        <v>92.527000000000001</v>
      </c>
      <c r="DR41" cm="1">
        <f t="array" ref="DR41">INDEX('Energy 325'!$R:$R,$DN41)</f>
        <v>18.024000000000001</v>
      </c>
      <c r="DU41" t="str" cm="1">
        <f t="array" ref="DU41">INDEX('Energy 325'!$B:$B,$DN41)</f>
        <v>2:16</v>
      </c>
      <c r="DV41" cm="1">
        <f t="array" ref="DV41">INDEX('Energy 325'!$N:$N,$DN41)</f>
        <v>388.08600000000001</v>
      </c>
      <c r="DW41" cm="1">
        <f t="array" ref="DW41">INDEX('Energy 325'!$O:$O,$DN41)</f>
        <v>75.596999999999994</v>
      </c>
    </row>
    <row r="42" spans="71:127" x14ac:dyDescent="0.35">
      <c r="BS42" t="str">
        <f>Energy!B42</f>
        <v>2:16</v>
      </c>
      <c r="BT42" t="str">
        <f>Energy!F42</f>
        <v>2048x2048</v>
      </c>
      <c r="BU42">
        <f>Energy!Q42</f>
        <v>101.956</v>
      </c>
      <c r="BV42">
        <f>Energy!R42</f>
        <v>18.396999999999998</v>
      </c>
      <c r="BX42">
        <f t="shared" si="9"/>
        <v>52</v>
      </c>
      <c r="BY42" t="str" cm="1">
        <f t="array" ref="BY42">IF(MOD(ROW()-2,6)=2,INDEX(Energy!$F:$F,$BX42),"")</f>
        <v/>
      </c>
      <c r="BZ42" t="str" cm="1">
        <f t="array" ref="BZ42">INDEX(Energy!$B:$B,$BX42)</f>
        <v>2:32</v>
      </c>
      <c r="CA42" cm="1">
        <f t="array" ref="CA42">INDEX(Energy!$Q:$Q,$BX42)</f>
        <v>51.216000000000001</v>
      </c>
      <c r="CB42" cm="1">
        <f t="array" ref="CB42">INDEX(Energy!$R:$R,$BX42)</f>
        <v>9.1270000000000007</v>
      </c>
      <c r="CE42" t="str" cm="1">
        <f t="array" ref="CE42">INDEX(Energy!$B:$B,$BX42)</f>
        <v>2:32</v>
      </c>
      <c r="CF42" cm="1">
        <f t="array" ref="CF42">INDEX(Energy!$N:$N,$BX42)</f>
        <v>214.81299999999999</v>
      </c>
      <c r="CG42" cm="1">
        <f t="array" ref="CG42">INDEX(Energy!$O:$O,$BX42)</f>
        <v>38.280999999999999</v>
      </c>
      <c r="DN42">
        <f t="shared" si="10"/>
        <v>52</v>
      </c>
      <c r="DO42" t="str" cm="1">
        <f t="array" ref="DO42">IF(MOD(ROW()-2,6)=2,INDEX('Energy 325'!$F:$F,$DN42),"")</f>
        <v/>
      </c>
      <c r="DP42" t="str" cm="1">
        <f t="array" ref="DP42">INDEX('Energy 325'!$B:$B,$DN42)</f>
        <v>2:32</v>
      </c>
      <c r="DQ42" cm="1">
        <f t="array" ref="DQ42">INDEX('Energy 325'!$Q:$Q,$DN42)</f>
        <v>46.570999999999998</v>
      </c>
      <c r="DR42" cm="1">
        <f t="array" ref="DR42">INDEX('Energy 325'!$R:$R,$DN42)</f>
        <v>9.2140000000000004</v>
      </c>
      <c r="DU42" t="str" cm="1">
        <f t="array" ref="DU42">INDEX('Energy 325'!$B:$B,$DN42)</f>
        <v>2:32</v>
      </c>
      <c r="DV42" cm="1">
        <f t="array" ref="DV42">INDEX('Energy 325'!$N:$N,$DN42)</f>
        <v>195.334</v>
      </c>
      <c r="DW42" cm="1">
        <f t="array" ref="DW42">INDEX('Energy 325'!$O:$O,$DN42)</f>
        <v>38.646999999999998</v>
      </c>
    </row>
    <row r="43" spans="71:127" x14ac:dyDescent="0.35">
      <c r="BS43" t="str">
        <f>Energy!B43</f>
        <v>2:16</v>
      </c>
      <c r="BT43" t="str">
        <f>Energy!F43</f>
        <v>4096x4096</v>
      </c>
      <c r="BU43">
        <f>Energy!Q43</f>
        <v>102.422</v>
      </c>
      <c r="BV43">
        <f>Energy!R43</f>
        <v>18.48</v>
      </c>
      <c r="BX43">
        <f t="shared" si="9"/>
        <v>63</v>
      </c>
      <c r="BY43" t="str" cm="1">
        <f t="array" ref="BY43">IF(MOD(ROW()-2,6)=2,INDEX(Energy!$F:$F,$BX43),"")</f>
        <v/>
      </c>
      <c r="BZ43" t="str" cm="1">
        <f t="array" ref="BZ43">INDEX(Energy!$B:$B,$BX43)</f>
        <v>MIXED</v>
      </c>
      <c r="CA43" cm="1">
        <f t="array" ref="CA43">INDEX(Energy!$Q:$Q,$BX43)</f>
        <v>188.167</v>
      </c>
      <c r="CB43" cm="1">
        <f t="array" ref="CB43">INDEX(Energy!$R:$R,$BX43)</f>
        <v>35.695999999999998</v>
      </c>
      <c r="CE43" t="str" cm="1">
        <f t="array" ref="CE43">INDEX(Energy!$B:$B,$BX43)</f>
        <v>MIXED</v>
      </c>
      <c r="CF43" cm="1">
        <f t="array" ref="CF43">INDEX(Energy!$N:$N,$BX43)</f>
        <v>789.22900000000004</v>
      </c>
      <c r="CG43" cm="1">
        <f t="array" ref="CG43">INDEX(Energy!$O:$O,$BX43)</f>
        <v>149.72</v>
      </c>
      <c r="DN43">
        <f t="shared" si="10"/>
        <v>63</v>
      </c>
      <c r="DO43" t="str" cm="1">
        <f t="array" ref="DO43">IF(MOD(ROW()-2,6)=2,INDEX('Energy 325'!$F:$F,$DN43),"")</f>
        <v/>
      </c>
      <c r="DP43" t="str" cm="1">
        <f t="array" ref="DP43">INDEX('Energy 325'!$B:$B,$DN43)</f>
        <v>MIXED</v>
      </c>
      <c r="DQ43" cm="1">
        <f t="array" ref="DQ43">INDEX('Energy 325'!$Q:$Q,$DN43)</f>
        <v>173.88499999999999</v>
      </c>
      <c r="DR43" cm="1">
        <f t="array" ref="DR43">INDEX('Energy 325'!$R:$R,$DN43)</f>
        <v>31.434000000000001</v>
      </c>
      <c r="DU43" t="str" cm="1">
        <f t="array" ref="DU43">INDEX('Energy 325'!$B:$B,$DN43)</f>
        <v>MIXED</v>
      </c>
      <c r="DV43" cm="1">
        <f t="array" ref="DV43">INDEX('Energy 325'!$N:$N,$DN43)</f>
        <v>729.327</v>
      </c>
      <c r="DW43" cm="1">
        <f t="array" ref="DW43">INDEX('Energy 325'!$O:$O,$DN43)</f>
        <v>131.84200000000001</v>
      </c>
    </row>
    <row r="44" spans="71:127" x14ac:dyDescent="0.35">
      <c r="BS44" t="str">
        <f>Energy!B44</f>
        <v>2:16</v>
      </c>
      <c r="BT44" t="str">
        <f>Energy!F44</f>
        <v>8192x2048</v>
      </c>
      <c r="BU44">
        <f>Energy!Q44</f>
        <v>103.131</v>
      </c>
      <c r="BV44">
        <f>Energy!R44</f>
        <v>18.608000000000001</v>
      </c>
      <c r="BX44">
        <f t="shared" si="9"/>
        <v>9</v>
      </c>
      <c r="BY44" t="str" cm="1">
        <f t="array" ref="BY44">IF(MOD(ROW()-2,6)=2,INDEX(Energy!$F:$F,$BX44),"")</f>
        <v/>
      </c>
      <c r="BZ44" t="str" cm="1">
        <f t="array" ref="BZ44">INDEX(Energy!$B:$B,$BX44)</f>
        <v>dense</v>
      </c>
      <c r="CA44" cm="1">
        <f t="array" ref="CA44">INDEX(Energy!$Q:$Q,$BX44)</f>
        <v>735.33</v>
      </c>
      <c r="CB44" cm="1">
        <f t="array" ref="CB44">INDEX(Energy!$R:$R,$BX44)</f>
        <v>118.006</v>
      </c>
      <c r="CD44" t="s">
        <v>81</v>
      </c>
      <c r="CE44" t="str" cm="1">
        <f t="array" ref="CE44">INDEX(Energy!$B:$B,$BX44)</f>
        <v>dense</v>
      </c>
      <c r="CF44" cm="1">
        <f t="array" ref="CF44">INDEX(Energy!$N:$N,$BX44)</f>
        <v>3084.1959999999999</v>
      </c>
      <c r="CG44" cm="1">
        <f t="array" ref="CG44">INDEX(Energy!$O:$O,$BX44)</f>
        <v>494.95400000000001</v>
      </c>
      <c r="DN44">
        <f t="shared" si="10"/>
        <v>9</v>
      </c>
      <c r="DO44" t="str" cm="1">
        <f t="array" ref="DO44">IF(MOD(ROW()-2,6)=2,INDEX('Energy 325'!$F:$F,$DN44),"")</f>
        <v/>
      </c>
      <c r="DP44" t="str" cm="1">
        <f t="array" ref="DP44">INDEX('Energy 325'!$B:$B,$DN44)</f>
        <v>dense</v>
      </c>
      <c r="DQ44" cm="1">
        <f t="array" ref="DQ44">INDEX('Energy 325'!$Q:$Q,$DN44)</f>
        <v>679.00800000000004</v>
      </c>
      <c r="DR44" cm="1">
        <f t="array" ref="DR44">INDEX('Energy 325'!$R:$R,$DN44)</f>
        <v>116.532</v>
      </c>
      <c r="DT44" t="s">
        <v>81</v>
      </c>
      <c r="DU44" t="str" cm="1">
        <f t="array" ref="DU44">INDEX('Energy 325'!$B:$B,$DN44)</f>
        <v>dense</v>
      </c>
      <c r="DV44" cm="1">
        <f t="array" ref="DV44">INDEX('Energy 325'!$N:$N,$DN44)</f>
        <v>2847.9639999999999</v>
      </c>
      <c r="DW44" cm="1">
        <f t="array" ref="DW44">INDEX('Energy 325'!$O:$O,$DN44)</f>
        <v>488.77199999999999</v>
      </c>
    </row>
    <row r="45" spans="71:127" x14ac:dyDescent="0.35">
      <c r="BS45" t="str">
        <f>Energy!B45</f>
        <v>2:16</v>
      </c>
      <c r="BT45" t="str">
        <f>Energy!F45</f>
        <v>2048x8192</v>
      </c>
      <c r="BU45">
        <f>Energy!Q45</f>
        <v>102.553</v>
      </c>
      <c r="BV45">
        <f>Energy!R45</f>
        <v>18.504000000000001</v>
      </c>
      <c r="BX45">
        <f t="shared" si="9"/>
        <v>20</v>
      </c>
      <c r="BY45" t="str" cm="1">
        <f t="array" ref="BY45">IF(MOD(ROW()-2,6)=2,INDEX(Energy!$F:$F,$BX45),"")</f>
        <v/>
      </c>
      <c r="BZ45" t="str" cm="1">
        <f t="array" ref="BZ45">INDEX(Energy!$B:$B,$BX45)</f>
        <v>2:4</v>
      </c>
      <c r="CA45" cm="1">
        <f t="array" ref="CA45">INDEX(Energy!$Q:$Q,$BX45)</f>
        <v>418.39499999999998</v>
      </c>
      <c r="CB45" cm="1">
        <f t="array" ref="CB45">INDEX(Energy!$R:$R,$BX45)</f>
        <v>70.153999999999996</v>
      </c>
      <c r="CE45" t="str" cm="1">
        <f t="array" ref="CE45">INDEX(Energy!$B:$B,$BX45)</f>
        <v>2:4</v>
      </c>
      <c r="CF45" cm="1">
        <f t="array" ref="CF45">INDEX(Energy!$N:$N,$BX45)</f>
        <v>1754.876</v>
      </c>
      <c r="CG45" cm="1">
        <f t="array" ref="CG45">INDEX(Energy!$O:$O,$BX45)</f>
        <v>294.24799999999999</v>
      </c>
      <c r="DN45">
        <f t="shared" si="10"/>
        <v>20</v>
      </c>
      <c r="DO45" t="str" cm="1">
        <f t="array" ref="DO45">IF(MOD(ROW()-2,6)=2,INDEX('Energy 325'!$F:$F,$DN45),"")</f>
        <v/>
      </c>
      <c r="DP45" t="str" cm="1">
        <f t="array" ref="DP45">INDEX('Energy 325'!$B:$B,$DN45)</f>
        <v>2:4</v>
      </c>
      <c r="DQ45" cm="1">
        <f t="array" ref="DQ45">INDEX('Energy 325'!$Q:$Q,$DN45)</f>
        <v>373.90699999999998</v>
      </c>
      <c r="DR45" cm="1">
        <f t="array" ref="DR45">INDEX('Energy 325'!$R:$R,$DN45)</f>
        <v>72.253</v>
      </c>
      <c r="DU45" t="str" cm="1">
        <f t="array" ref="DU45">INDEX('Energy 325'!$B:$B,$DN45)</f>
        <v>2:4</v>
      </c>
      <c r="DV45" cm="1">
        <f t="array" ref="DV45">INDEX('Energy 325'!$N:$N,$DN45)</f>
        <v>1568.2809999999999</v>
      </c>
      <c r="DW45" cm="1">
        <f t="array" ref="DW45">INDEX('Energy 325'!$O:$O,$DN45)</f>
        <v>303.05</v>
      </c>
    </row>
    <row r="46" spans="71:127" x14ac:dyDescent="0.35">
      <c r="BS46" t="str">
        <f>Energy!B46</f>
        <v>2:32</v>
      </c>
      <c r="BT46" t="str">
        <f>Energy!F46</f>
        <v>512x512</v>
      </c>
      <c r="BU46">
        <f>Energy!Q46</f>
        <v>54.13</v>
      </c>
      <c r="BV46">
        <f>Energy!R46</f>
        <v>9.6460000000000008</v>
      </c>
      <c r="BX46">
        <f t="shared" si="9"/>
        <v>31</v>
      </c>
      <c r="BY46" t="str" cm="1">
        <f t="array" ref="BY46">IF(MOD(ROW()-2,6)=2,INDEX(Energy!$F:$F,$BX46),"")</f>
        <v>2048x2048</v>
      </c>
      <c r="BZ46" t="str" cm="1">
        <f t="array" ref="BZ46">INDEX(Energy!$B:$B,$BX46)</f>
        <v>2:8</v>
      </c>
      <c r="CA46" cm="1">
        <f t="array" ref="CA46">INDEX(Energy!$Q:$Q,$BX46)</f>
        <v>207.31899999999999</v>
      </c>
      <c r="CB46" cm="1">
        <f t="array" ref="CB46">INDEX(Energy!$R:$R,$BX46)</f>
        <v>36.026000000000003</v>
      </c>
      <c r="CE46" t="str" cm="1">
        <f t="array" ref="CE46">INDEX(Energy!$B:$B,$BX46)</f>
        <v>2:8</v>
      </c>
      <c r="CF46" cm="1">
        <f t="array" ref="CF46">INDEX(Energy!$N:$N,$BX46)</f>
        <v>869.55700000000002</v>
      </c>
      <c r="CG46" cm="1">
        <f t="array" ref="CG46">INDEX(Energy!$O:$O,$BX46)</f>
        <v>151.10499999999999</v>
      </c>
      <c r="DN46">
        <f t="shared" si="10"/>
        <v>31</v>
      </c>
      <c r="DO46" t="str" cm="1">
        <f t="array" ref="DO46">IF(MOD(ROW()-2,6)=2,INDEX('Energy 325'!$F:$F,$DN46),"")</f>
        <v>2048x2048</v>
      </c>
      <c r="DP46" t="str" cm="1">
        <f t="array" ref="DP46">INDEX('Energy 325'!$B:$B,$DN46)</f>
        <v>2:8</v>
      </c>
      <c r="DQ46" cm="1">
        <f t="array" ref="DQ46">INDEX('Energy 325'!$Q:$Q,$DN46)</f>
        <v>187.87200000000001</v>
      </c>
      <c r="DR46" cm="1">
        <f t="array" ref="DR46">INDEX('Energy 325'!$R:$R,$DN46)</f>
        <v>32.936</v>
      </c>
      <c r="DU46" t="str" cm="1">
        <f t="array" ref="DU46">INDEX('Energy 325'!$B:$B,$DN46)</f>
        <v>2:8</v>
      </c>
      <c r="DV46" cm="1">
        <f t="array" ref="DV46">INDEX('Energy 325'!$N:$N,$DN46)</f>
        <v>787.99199999999996</v>
      </c>
      <c r="DW46" cm="1">
        <f t="array" ref="DW46">INDEX('Energy 325'!$O:$O,$DN46)</f>
        <v>138.142</v>
      </c>
    </row>
    <row r="47" spans="71:127" x14ac:dyDescent="0.35">
      <c r="BS47" t="str">
        <f>Energy!B47</f>
        <v>2:32</v>
      </c>
      <c r="BT47" t="str">
        <f>Energy!F47</f>
        <v>768x768</v>
      </c>
      <c r="BU47">
        <f>Energy!Q47</f>
        <v>52.631</v>
      </c>
      <c r="BV47">
        <f>Energy!R47</f>
        <v>9.3789999999999996</v>
      </c>
      <c r="BX47">
        <f t="shared" si="9"/>
        <v>42</v>
      </c>
      <c r="BY47" t="str" cm="1">
        <f t="array" ref="BY47">IF(MOD(ROW()-2,6)=2,INDEX(Energy!$F:$F,$BX47),"")</f>
        <v/>
      </c>
      <c r="BZ47" t="str" cm="1">
        <f t="array" ref="BZ47">INDEX(Energy!$B:$B,$BX47)</f>
        <v>2:16</v>
      </c>
      <c r="CA47" cm="1">
        <f t="array" ref="CA47">INDEX(Energy!$Q:$Q,$BX47)</f>
        <v>101.956</v>
      </c>
      <c r="CB47" cm="1">
        <f t="array" ref="CB47">INDEX(Energy!$R:$R,$BX47)</f>
        <v>18.396999999999998</v>
      </c>
      <c r="CE47" t="str" cm="1">
        <f t="array" ref="CE47">INDEX(Energy!$B:$B,$BX47)</f>
        <v>2:16</v>
      </c>
      <c r="CF47" cm="1">
        <f t="array" ref="CF47">INDEX(Energy!$N:$N,$BX47)</f>
        <v>427.63600000000002</v>
      </c>
      <c r="CG47" cm="1">
        <f t="array" ref="CG47">INDEX(Energy!$O:$O,$BX47)</f>
        <v>77.161000000000001</v>
      </c>
      <c r="DN47">
        <f t="shared" si="10"/>
        <v>42</v>
      </c>
      <c r="DO47" t="str" cm="1">
        <f t="array" ref="DO47">IF(MOD(ROW()-2,6)=2,INDEX('Energy 325'!$F:$F,$DN47),"")</f>
        <v/>
      </c>
      <c r="DP47" t="str" cm="1">
        <f t="array" ref="DP47">INDEX('Energy 325'!$B:$B,$DN47)</f>
        <v>2:16</v>
      </c>
      <c r="DQ47" cm="1">
        <f t="array" ref="DQ47">INDEX('Energy 325'!$Q:$Q,$DN47)</f>
        <v>94.164000000000001</v>
      </c>
      <c r="DR47" cm="1">
        <f t="array" ref="DR47">INDEX('Energy 325'!$R:$R,$DN47)</f>
        <v>18.343</v>
      </c>
      <c r="DU47" t="str" cm="1">
        <f t="array" ref="DU47">INDEX('Energy 325'!$B:$B,$DN47)</f>
        <v>2:16</v>
      </c>
      <c r="DV47" cm="1">
        <f t="array" ref="DV47">INDEX('Energy 325'!$N:$N,$DN47)</f>
        <v>394.95100000000002</v>
      </c>
      <c r="DW47" cm="1">
        <f t="array" ref="DW47">INDEX('Energy 325'!$O:$O,$DN47)</f>
        <v>76.933999999999997</v>
      </c>
    </row>
    <row r="48" spans="71:127" x14ac:dyDescent="0.35">
      <c r="BS48" t="str">
        <f>Energy!B48</f>
        <v>2:32</v>
      </c>
      <c r="BT48" t="str">
        <f>Energy!F48</f>
        <v>1024x1024</v>
      </c>
      <c r="BU48">
        <f>Energy!Q48</f>
        <v>52.084000000000003</v>
      </c>
      <c r="BV48">
        <f>Energy!R48</f>
        <v>9.282</v>
      </c>
      <c r="BX48">
        <f t="shared" si="9"/>
        <v>53</v>
      </c>
      <c r="BY48" t="str" cm="1">
        <f t="array" ref="BY48">IF(MOD(ROW()-2,6)=2,INDEX(Energy!$F:$F,$BX48),"")</f>
        <v/>
      </c>
      <c r="BZ48" t="str" cm="1">
        <f t="array" ref="BZ48">INDEX(Energy!$B:$B,$BX48)</f>
        <v>2:32</v>
      </c>
      <c r="CA48" cm="1">
        <f t="array" ref="CA48">INDEX(Energy!$Q:$Q,$BX48)</f>
        <v>51.719000000000001</v>
      </c>
      <c r="CB48" cm="1">
        <f t="array" ref="CB48">INDEX(Energy!$R:$R,$BX48)</f>
        <v>9.2170000000000005</v>
      </c>
      <c r="CE48" t="str" cm="1">
        <f t="array" ref="CE48">INDEX(Energy!$B:$B,$BX48)</f>
        <v>2:32</v>
      </c>
      <c r="CF48" cm="1">
        <f t="array" ref="CF48">INDEX(Energy!$N:$N,$BX48)</f>
        <v>216.92500000000001</v>
      </c>
      <c r="CG48" cm="1">
        <f t="array" ref="CG48">INDEX(Energy!$O:$O,$BX48)</f>
        <v>38.658000000000001</v>
      </c>
      <c r="DN48">
        <f t="shared" si="10"/>
        <v>53</v>
      </c>
      <c r="DO48" t="str" cm="1">
        <f t="array" ref="DO48">IF(MOD(ROW()-2,6)=2,INDEX('Energy 325'!$F:$F,$DN48),"")</f>
        <v/>
      </c>
      <c r="DP48" t="str" cm="1">
        <f t="array" ref="DP48">INDEX('Energy 325'!$B:$B,$DN48)</f>
        <v>2:32</v>
      </c>
      <c r="DQ48" cm="1">
        <f t="array" ref="DQ48">INDEX('Energy 325'!$Q:$Q,$DN48)</f>
        <v>47.055999999999997</v>
      </c>
      <c r="DR48" cm="1">
        <f t="array" ref="DR48">INDEX('Energy 325'!$R:$R,$DN48)</f>
        <v>9.31</v>
      </c>
      <c r="DU48" t="str" cm="1">
        <f t="array" ref="DU48">INDEX('Energy 325'!$B:$B,$DN48)</f>
        <v>2:32</v>
      </c>
      <c r="DV48" cm="1">
        <f t="array" ref="DV48">INDEX('Energy 325'!$N:$N,$DN48)</f>
        <v>197.36600000000001</v>
      </c>
      <c r="DW48" cm="1">
        <f t="array" ref="DW48">INDEX('Energy 325'!$O:$O,$DN48)</f>
        <v>39.048999999999999</v>
      </c>
    </row>
    <row r="49" spans="71:127" x14ac:dyDescent="0.35">
      <c r="BS49" t="str">
        <f>Energy!B49</f>
        <v>2:32</v>
      </c>
      <c r="BT49" t="str">
        <f>Energy!F49</f>
        <v>3072x768</v>
      </c>
      <c r="BU49">
        <f>Energy!Q49</f>
        <v>52.817999999999998</v>
      </c>
      <c r="BV49">
        <f>Energy!R49</f>
        <v>9.4130000000000003</v>
      </c>
      <c r="BX49">
        <f t="shared" si="9"/>
        <v>64</v>
      </c>
      <c r="BY49" t="str" cm="1">
        <f t="array" ref="BY49">IF(MOD(ROW()-2,6)=2,INDEX(Energy!$F:$F,$BX49),"")</f>
        <v/>
      </c>
      <c r="BZ49" t="str" cm="1">
        <f t="array" ref="BZ49">INDEX(Energy!$B:$B,$BX49)</f>
        <v>MIXED</v>
      </c>
      <c r="CA49" cm="1">
        <f t="array" ref="CA49">INDEX(Energy!$Q:$Q,$BX49)</f>
        <v>189.13200000000001</v>
      </c>
      <c r="CB49" cm="1">
        <f t="array" ref="CB49">INDEX(Energy!$R:$R,$BX49)</f>
        <v>35.878999999999998</v>
      </c>
      <c r="CE49" t="str" cm="1">
        <f t="array" ref="CE49">INDEX(Energy!$B:$B,$BX49)</f>
        <v>MIXED</v>
      </c>
      <c r="CF49" cm="1">
        <f t="array" ref="CF49">INDEX(Energy!$N:$N,$BX49)</f>
        <v>793.27599999999995</v>
      </c>
      <c r="CG49" cm="1">
        <f t="array" ref="CG49">INDEX(Energy!$O:$O,$BX49)</f>
        <v>150.488</v>
      </c>
      <c r="DN49">
        <f t="shared" si="10"/>
        <v>64</v>
      </c>
      <c r="DO49" t="str" cm="1">
        <f t="array" ref="DO49">IF(MOD(ROW()-2,6)=2,INDEX('Energy 325'!$F:$F,$DN49),"")</f>
        <v/>
      </c>
      <c r="DP49" t="str" cm="1">
        <f t="array" ref="DP49">INDEX('Energy 325'!$B:$B,$DN49)</f>
        <v>MIXED</v>
      </c>
      <c r="DQ49" cm="1">
        <f t="array" ref="DQ49">INDEX('Energy 325'!$Q:$Q,$DN49)</f>
        <v>175.32</v>
      </c>
      <c r="DR49" cm="1">
        <f t="array" ref="DR49">INDEX('Energy 325'!$R:$R,$DN49)</f>
        <v>31.693000000000001</v>
      </c>
      <c r="DU49" t="str" cm="1">
        <f t="array" ref="DU49">INDEX('Energy 325'!$B:$B,$DN49)</f>
        <v>MIXED</v>
      </c>
      <c r="DV49" cm="1">
        <f t="array" ref="DV49">INDEX('Energy 325'!$N:$N,$DN49)</f>
        <v>735.34500000000003</v>
      </c>
      <c r="DW49" cm="1">
        <f t="array" ref="DW49">INDEX('Energy 325'!$O:$O,$DN49)</f>
        <v>132.93</v>
      </c>
    </row>
    <row r="50" spans="71:127" x14ac:dyDescent="0.35">
      <c r="BS50" t="str">
        <f>Energy!B50</f>
        <v>2:32</v>
      </c>
      <c r="BT50" t="str">
        <f>Energy!F50</f>
        <v>768x3072</v>
      </c>
      <c r="BU50">
        <f>Energy!Q50</f>
        <v>50.899000000000001</v>
      </c>
      <c r="BV50">
        <f>Energy!R50</f>
        <v>9.0709999999999997</v>
      </c>
      <c r="BX50">
        <f t="shared" si="9"/>
        <v>10</v>
      </c>
      <c r="BY50" t="str" cm="1">
        <f t="array" ref="BY50">IF(MOD(ROW()-2,6)=2,INDEX(Energy!$F:$F,$BX50),"")</f>
        <v/>
      </c>
      <c r="BZ50" t="str" cm="1">
        <f t="array" ref="BZ50">INDEX(Energy!$B:$B,$BX50)</f>
        <v>dense</v>
      </c>
      <c r="CA50" cm="1">
        <f t="array" ref="CA50">INDEX(Energy!$Q:$Q,$BX50)</f>
        <v>738.17700000000002</v>
      </c>
      <c r="CB50" cm="1">
        <f t="array" ref="CB50">INDEX(Energy!$R:$R,$BX50)</f>
        <v>118.46299999999999</v>
      </c>
      <c r="CD50" t="s">
        <v>83</v>
      </c>
      <c r="CE50" t="str" cm="1">
        <f t="array" ref="CE50">INDEX(Energy!$B:$B,$BX50)</f>
        <v>dense</v>
      </c>
      <c r="CF50" cm="1">
        <f t="array" ref="CF50">INDEX(Energy!$N:$N,$BX50)</f>
        <v>12384.550999999999</v>
      </c>
      <c r="CG50" cm="1">
        <f t="array" ref="CG50">INDEX(Energy!$O:$O,$BX50)</f>
        <v>1987.482</v>
      </c>
      <c r="DN50">
        <f t="shared" si="10"/>
        <v>10</v>
      </c>
      <c r="DO50" t="str" cm="1">
        <f t="array" ref="DO50">IF(MOD(ROW()-2,6)=2,INDEX('Energy 325'!$F:$F,$DN50),"")</f>
        <v/>
      </c>
      <c r="DP50" t="str" cm="1">
        <f t="array" ref="DP50">INDEX('Energy 325'!$B:$B,$DN50)</f>
        <v>dense</v>
      </c>
      <c r="DQ50" cm="1">
        <f t="array" ref="DQ50">INDEX('Energy 325'!$Q:$Q,$DN50)</f>
        <v>673.59900000000005</v>
      </c>
      <c r="DR50" cm="1">
        <f t="array" ref="DR50">INDEX('Energy 325'!$R:$R,$DN50)</f>
        <v>115.604</v>
      </c>
      <c r="DT50" t="s">
        <v>83</v>
      </c>
      <c r="DU50" t="str" cm="1">
        <f t="array" ref="DU50">INDEX('Energy 325'!$B:$B,$DN50)</f>
        <v>dense</v>
      </c>
      <c r="DV50" cm="1">
        <f t="array" ref="DV50">INDEX('Energy 325'!$N:$N,$DN50)</f>
        <v>11301.111000000001</v>
      </c>
      <c r="DW50" cm="1">
        <f t="array" ref="DW50">INDEX('Energy 325'!$O:$O,$DN50)</f>
        <v>1939.5160000000001</v>
      </c>
    </row>
    <row r="51" spans="71:127" x14ac:dyDescent="0.35">
      <c r="BS51" t="str">
        <f>Energy!B51</f>
        <v>2:32</v>
      </c>
      <c r="BT51" t="str">
        <f>Energy!F51</f>
        <v>4096x1024</v>
      </c>
      <c r="BU51">
        <f>Energy!Q51</f>
        <v>52.36</v>
      </c>
      <c r="BV51">
        <f>Energy!R51</f>
        <v>9.3309999999999995</v>
      </c>
      <c r="BX51">
        <f t="shared" si="9"/>
        <v>21</v>
      </c>
      <c r="BY51" t="str" cm="1">
        <f t="array" ref="BY51">IF(MOD(ROW()-2,6)=2,INDEX(Energy!$F:$F,$BX51),"")</f>
        <v/>
      </c>
      <c r="BZ51" t="str" cm="1">
        <f t="array" ref="BZ51">INDEX(Energy!$B:$B,$BX51)</f>
        <v>2:4</v>
      </c>
      <c r="CA51" cm="1">
        <f t="array" ref="CA51">INDEX(Energy!$Q:$Q,$BX51)</f>
        <v>410.46600000000001</v>
      </c>
      <c r="CB51" cm="1">
        <f t="array" ref="CB51">INDEX(Energy!$R:$R,$BX51)</f>
        <v>68.825000000000003</v>
      </c>
      <c r="CE51" t="str" cm="1">
        <f t="array" ref="CE51">INDEX(Energy!$B:$B,$BX51)</f>
        <v>2:4</v>
      </c>
      <c r="CF51" cm="1">
        <f t="array" ref="CF51">INDEX(Energy!$N:$N,$BX51)</f>
        <v>6886.4709999999995</v>
      </c>
      <c r="CG51" cm="1">
        <f t="array" ref="CG51">INDEX(Energy!$O:$O,$BX51)</f>
        <v>1154.6859999999999</v>
      </c>
      <c r="DN51">
        <f t="shared" si="10"/>
        <v>21</v>
      </c>
      <c r="DO51" t="str" cm="1">
        <f t="array" ref="DO51">IF(MOD(ROW()-2,6)=2,INDEX('Energy 325'!$F:$F,$DN51),"")</f>
        <v/>
      </c>
      <c r="DP51" t="str" cm="1">
        <f t="array" ref="DP51">INDEX('Energy 325'!$B:$B,$DN51)</f>
        <v>2:4</v>
      </c>
      <c r="DQ51" cm="1">
        <f t="array" ref="DQ51">INDEX('Energy 325'!$Q:$Q,$DN51)</f>
        <v>371.15300000000002</v>
      </c>
      <c r="DR51" cm="1">
        <f t="array" ref="DR51">INDEX('Energy 325'!$R:$R,$DN51)</f>
        <v>71.721000000000004</v>
      </c>
      <c r="DU51" t="str" cm="1">
        <f t="array" ref="DU51">INDEX('Energy 325'!$B:$B,$DN51)</f>
        <v>2:4</v>
      </c>
      <c r="DV51" cm="1">
        <f t="array" ref="DV51">INDEX('Energy 325'!$N:$N,$DN51)</f>
        <v>6226.9129999999996</v>
      </c>
      <c r="DW51" cm="1">
        <f t="array" ref="DW51">INDEX('Energy 325'!$O:$O,$DN51)</f>
        <v>1203.271</v>
      </c>
    </row>
    <row r="52" spans="71:127" x14ac:dyDescent="0.35">
      <c r="BS52" t="str">
        <f>Energy!B52</f>
        <v>2:32</v>
      </c>
      <c r="BT52" t="str">
        <f>Energy!F52</f>
        <v>1024x4096</v>
      </c>
      <c r="BU52">
        <f>Energy!Q52</f>
        <v>51.216000000000001</v>
      </c>
      <c r="BV52">
        <f>Energy!R52</f>
        <v>9.1270000000000007</v>
      </c>
      <c r="BX52">
        <f t="shared" si="9"/>
        <v>32</v>
      </c>
      <c r="BY52" t="str" cm="1">
        <f t="array" ref="BY52">IF(MOD(ROW()-2,6)=2,INDEX(Energy!$F:$F,$BX52),"")</f>
        <v>4096x4096</v>
      </c>
      <c r="BZ52" t="str" cm="1">
        <f t="array" ref="BZ52">INDEX(Energy!$B:$B,$BX52)</f>
        <v>2:8</v>
      </c>
      <c r="CA52" cm="1">
        <f t="array" ref="CA52">INDEX(Energy!$Q:$Q,$BX52)</f>
        <v>207.60300000000001</v>
      </c>
      <c r="CB52" cm="1">
        <f t="array" ref="CB52">INDEX(Energy!$R:$R,$BX52)</f>
        <v>36.076000000000001</v>
      </c>
      <c r="CE52" t="str" cm="1">
        <f t="array" ref="CE52">INDEX(Energy!$B:$B,$BX52)</f>
        <v>2:8</v>
      </c>
      <c r="CF52" cm="1">
        <f t="array" ref="CF52">INDEX(Energy!$N:$N,$BX52)</f>
        <v>3482.9989999999998</v>
      </c>
      <c r="CG52" cm="1">
        <f t="array" ref="CG52">INDEX(Energy!$O:$O,$BX52)</f>
        <v>605.24900000000002</v>
      </c>
      <c r="DN52">
        <f t="shared" si="10"/>
        <v>32</v>
      </c>
      <c r="DO52" t="str" cm="1">
        <f t="array" ref="DO52">IF(MOD(ROW()-2,6)=2,INDEX('Energy 325'!$F:$F,$DN52),"")</f>
        <v>4096x4096</v>
      </c>
      <c r="DP52" t="str" cm="1">
        <f t="array" ref="DP52">INDEX('Energy 325'!$B:$B,$DN52)</f>
        <v>2:8</v>
      </c>
      <c r="DQ52" cm="1">
        <f t="array" ref="DQ52">INDEX('Energy 325'!$Q:$Q,$DN52)</f>
        <v>188.613</v>
      </c>
      <c r="DR52" cm="1">
        <f t="array" ref="DR52">INDEX('Energy 325'!$R:$R,$DN52)</f>
        <v>33.064999999999998</v>
      </c>
      <c r="DU52" t="str" cm="1">
        <f t="array" ref="DU52">INDEX('Energy 325'!$B:$B,$DN52)</f>
        <v>2:8</v>
      </c>
      <c r="DV52" cm="1">
        <f t="array" ref="DV52">INDEX('Energy 325'!$N:$N,$DN52)</f>
        <v>3164.4</v>
      </c>
      <c r="DW52" cm="1">
        <f t="array" ref="DW52">INDEX('Energy 325'!$O:$O,$DN52)</f>
        <v>554.74599999999998</v>
      </c>
    </row>
    <row r="53" spans="71:127" x14ac:dyDescent="0.35">
      <c r="BS53" t="str">
        <f>Energy!B53</f>
        <v>2:32</v>
      </c>
      <c r="BT53" t="str">
        <f>Energy!F53</f>
        <v>2048x2048</v>
      </c>
      <c r="BU53">
        <f>Energy!Q53</f>
        <v>51.719000000000001</v>
      </c>
      <c r="BV53">
        <f>Energy!R53</f>
        <v>9.2170000000000005</v>
      </c>
      <c r="BX53">
        <f t="shared" si="9"/>
        <v>43</v>
      </c>
      <c r="BY53" t="str" cm="1">
        <f t="array" ref="BY53">IF(MOD(ROW()-2,6)=2,INDEX(Energy!$F:$F,$BX53),"")</f>
        <v/>
      </c>
      <c r="BZ53" t="str" cm="1">
        <f t="array" ref="BZ53">INDEX(Energy!$B:$B,$BX53)</f>
        <v>2:16</v>
      </c>
      <c r="CA53" cm="1">
        <f t="array" ref="CA53">INDEX(Energy!$Q:$Q,$BX53)</f>
        <v>102.422</v>
      </c>
      <c r="CB53" cm="1">
        <f t="array" ref="CB53">INDEX(Energy!$R:$R,$BX53)</f>
        <v>18.48</v>
      </c>
      <c r="CE53" t="str" cm="1">
        <f t="array" ref="CE53">INDEX(Energy!$B:$B,$BX53)</f>
        <v>2:16</v>
      </c>
      <c r="CF53" cm="1">
        <f t="array" ref="CF53">INDEX(Energy!$N:$N,$BX53)</f>
        <v>1718.3520000000001</v>
      </c>
      <c r="CG53" cm="1">
        <f t="array" ref="CG53">INDEX(Energy!$O:$O,$BX53)</f>
        <v>310.05099999999999</v>
      </c>
      <c r="DN53">
        <f t="shared" si="10"/>
        <v>43</v>
      </c>
      <c r="DO53" t="str" cm="1">
        <f t="array" ref="DO53">IF(MOD(ROW()-2,6)=2,INDEX('Energy 325'!$F:$F,$DN53),"")</f>
        <v/>
      </c>
      <c r="DP53" t="str" cm="1">
        <f t="array" ref="DP53">INDEX('Energy 325'!$B:$B,$DN53)</f>
        <v>2:16</v>
      </c>
      <c r="DQ53" cm="1">
        <f t="array" ref="DQ53">INDEX('Energy 325'!$Q:$Q,$DN53)</f>
        <v>93.778999999999996</v>
      </c>
      <c r="DR53" cm="1">
        <f t="array" ref="DR53">INDEX('Energy 325'!$R:$R,$DN53)</f>
        <v>18.268000000000001</v>
      </c>
      <c r="DU53" t="str" cm="1">
        <f t="array" ref="DU53">INDEX('Energy 325'!$B:$B,$DN53)</f>
        <v>2:16</v>
      </c>
      <c r="DV53" cm="1">
        <f t="array" ref="DV53">INDEX('Energy 325'!$N:$N,$DN53)</f>
        <v>1573.357</v>
      </c>
      <c r="DW53" cm="1">
        <f t="array" ref="DW53">INDEX('Energy 325'!$O:$O,$DN53)</f>
        <v>306.48200000000003</v>
      </c>
    </row>
    <row r="54" spans="71:127" x14ac:dyDescent="0.35">
      <c r="BS54" t="str">
        <f>Energy!B54</f>
        <v>2:32</v>
      </c>
      <c r="BT54" t="str">
        <f>Energy!F54</f>
        <v>4096x4096</v>
      </c>
      <c r="BU54">
        <f>Energy!Q54</f>
        <v>51.335999999999999</v>
      </c>
      <c r="BV54">
        <f>Energy!R54</f>
        <v>9.1489999999999991</v>
      </c>
      <c r="BX54">
        <f t="shared" si="9"/>
        <v>54</v>
      </c>
      <c r="BY54" t="str" cm="1">
        <f t="array" ref="BY54">IF(MOD(ROW()-2,6)=2,INDEX(Energy!$F:$F,$BX54),"")</f>
        <v/>
      </c>
      <c r="BZ54" t="str" cm="1">
        <f t="array" ref="BZ54">INDEX(Energy!$B:$B,$BX54)</f>
        <v>2:32</v>
      </c>
      <c r="CA54" cm="1">
        <f t="array" ref="CA54">INDEX(Energy!$Q:$Q,$BX54)</f>
        <v>51.335999999999999</v>
      </c>
      <c r="CB54" cm="1">
        <f t="array" ref="CB54">INDEX(Energy!$R:$R,$BX54)</f>
        <v>9.1489999999999991</v>
      </c>
      <c r="CE54" t="str" cm="1">
        <f t="array" ref="CE54">INDEX(Energy!$B:$B,$BX54)</f>
        <v>2:32</v>
      </c>
      <c r="CF54" cm="1">
        <f t="array" ref="CF54">INDEX(Energy!$N:$N,$BX54)</f>
        <v>861.27700000000004</v>
      </c>
      <c r="CG54" cm="1">
        <f t="array" ref="CG54">INDEX(Energy!$O:$O,$BX54)</f>
        <v>153.48699999999999</v>
      </c>
      <c r="DN54">
        <f t="shared" si="10"/>
        <v>54</v>
      </c>
      <c r="DO54" t="str" cm="1">
        <f t="array" ref="DO54">IF(MOD(ROW()-2,6)=2,INDEX('Energy 325'!$F:$F,$DN54),"")</f>
        <v/>
      </c>
      <c r="DP54" t="str" cm="1">
        <f t="array" ref="DP54">INDEX('Energy 325'!$B:$B,$DN54)</f>
        <v>2:32</v>
      </c>
      <c r="DQ54" cm="1">
        <f t="array" ref="DQ54">INDEX('Energy 325'!$Q:$Q,$DN54)</f>
        <v>47.207000000000001</v>
      </c>
      <c r="DR54" cm="1">
        <f t="array" ref="DR54">INDEX('Energy 325'!$R:$R,$DN54)</f>
        <v>9.34</v>
      </c>
      <c r="DU54" t="str" cm="1">
        <f t="array" ref="DU54">INDEX('Energy 325'!$B:$B,$DN54)</f>
        <v>2:32</v>
      </c>
      <c r="DV54" cm="1">
        <f t="array" ref="DV54">INDEX('Energy 325'!$N:$N,$DN54)</f>
        <v>792.00300000000004</v>
      </c>
      <c r="DW54" cm="1">
        <f t="array" ref="DW54">INDEX('Energy 325'!$O:$O,$DN54)</f>
        <v>156.69800000000001</v>
      </c>
    </row>
    <row r="55" spans="71:127" x14ac:dyDescent="0.35">
      <c r="BS55" t="str">
        <f>Energy!B55</f>
        <v>2:32</v>
      </c>
      <c r="BT55" t="str">
        <f>Energy!F55</f>
        <v>8192x2048</v>
      </c>
      <c r="BU55">
        <f>Energy!Q55</f>
        <v>51.67</v>
      </c>
      <c r="BV55">
        <f>Energy!R55</f>
        <v>9.2080000000000002</v>
      </c>
      <c r="BX55">
        <f t="shared" si="9"/>
        <v>65</v>
      </c>
      <c r="BY55" t="str" cm="1">
        <f t="array" ref="BY55">IF(MOD(ROW()-2,6)=2,INDEX(Energy!$F:$F,$BX55),"")</f>
        <v/>
      </c>
      <c r="BZ55" t="str" cm="1">
        <f t="array" ref="BZ55">INDEX(Energy!$B:$B,$BX55)</f>
        <v>MIXED</v>
      </c>
      <c r="CA55" cm="1">
        <f t="array" ref="CA55">INDEX(Energy!$Q:$Q,$BX55)</f>
        <v>188.102</v>
      </c>
      <c r="CB55" cm="1">
        <f t="array" ref="CB55">INDEX(Energy!$R:$R,$BX55)</f>
        <v>35.683999999999997</v>
      </c>
      <c r="CE55" t="str" cm="1">
        <f t="array" ref="CE55">INDEX(Energy!$B:$B,$BX55)</f>
        <v>MIXED</v>
      </c>
      <c r="CF55" cm="1">
        <f t="array" ref="CF55">INDEX(Energy!$N:$N,$BX55)</f>
        <v>3155.8240000000001</v>
      </c>
      <c r="CG55" cm="1">
        <f t="array" ref="CG55">INDEX(Energy!$O:$O,$BX55)</f>
        <v>598.67499999999995</v>
      </c>
      <c r="DN55">
        <f t="shared" si="10"/>
        <v>65</v>
      </c>
      <c r="DO55" t="str" cm="1">
        <f t="array" ref="DO55">IF(MOD(ROW()-2,6)=2,INDEX('Energy 325'!$F:$F,$DN55),"")</f>
        <v/>
      </c>
      <c r="DP55" t="str" cm="1">
        <f t="array" ref="DP55">INDEX('Energy 325'!$B:$B,$DN55)</f>
        <v>MIXED</v>
      </c>
      <c r="DQ55" cm="1">
        <f t="array" ref="DQ55">INDEX('Energy 325'!$Q:$Q,$DN55)</f>
        <v>173.42400000000001</v>
      </c>
      <c r="DR55" cm="1">
        <f t="array" ref="DR55">INDEX('Energy 325'!$R:$R,$DN55)</f>
        <v>31.35</v>
      </c>
      <c r="DU55" t="str" cm="1">
        <f t="array" ref="DU55">INDEX('Energy 325'!$B:$B,$DN55)</f>
        <v>MIXED</v>
      </c>
      <c r="DV55" cm="1">
        <f t="array" ref="DV55">INDEX('Energy 325'!$N:$N,$DN55)</f>
        <v>2909.5720000000001</v>
      </c>
      <c r="DW55" cm="1">
        <f t="array" ref="DW55">INDEX('Energy 325'!$O:$O,$DN55)</f>
        <v>525.971</v>
      </c>
    </row>
    <row r="56" spans="71:127" x14ac:dyDescent="0.35">
      <c r="BS56" t="str">
        <f>Energy!B56</f>
        <v>2:32</v>
      </c>
      <c r="BT56" t="str">
        <f>Energy!F56</f>
        <v>2048x8192</v>
      </c>
      <c r="BU56">
        <f>Energy!Q56</f>
        <v>50.777999999999999</v>
      </c>
      <c r="BV56">
        <f>Energy!R56</f>
        <v>9.0489999999999995</v>
      </c>
      <c r="BX56">
        <f t="shared" si="9"/>
        <v>11</v>
      </c>
      <c r="BY56" t="str" cm="1">
        <f t="array" ref="BY56">IF(MOD(ROW()-2,6)=2,INDEX(Energy!$F:$F,$BX56),"")</f>
        <v/>
      </c>
      <c r="BZ56" t="str" cm="1">
        <f t="array" ref="BZ56">INDEX(Energy!$B:$B,$BX56)</f>
        <v>dense</v>
      </c>
      <c r="CA56" cm="1">
        <f t="array" ref="CA56">INDEX(Energy!$Q:$Q,$BX56)</f>
        <v>740.71799999999996</v>
      </c>
      <c r="CB56" cm="1">
        <f t="array" ref="CB56">INDEX(Energy!$R:$R,$BX56)</f>
        <v>118.871</v>
      </c>
      <c r="CD56" t="s">
        <v>85</v>
      </c>
      <c r="CE56" t="str" cm="1">
        <f t="array" ref="CE56">INDEX(Energy!$B:$B,$BX56)</f>
        <v>dense</v>
      </c>
      <c r="CF56" cm="1">
        <f t="array" ref="CF56">INDEX(Energy!$N:$N,$BX56)</f>
        <v>12427.188</v>
      </c>
      <c r="CG56" cm="1">
        <f t="array" ref="CG56">INDEX(Energy!$O:$O,$BX56)</f>
        <v>1994.3240000000001</v>
      </c>
      <c r="DN56">
        <f t="shared" si="10"/>
        <v>11</v>
      </c>
      <c r="DO56" t="str" cm="1">
        <f t="array" ref="DO56">IF(MOD(ROW()-2,6)=2,INDEX('Energy 325'!$F:$F,$DN56),"")</f>
        <v/>
      </c>
      <c r="DP56" t="str" cm="1">
        <f t="array" ref="DP56">INDEX('Energy 325'!$B:$B,$DN56)</f>
        <v>dense</v>
      </c>
      <c r="DQ56" cm="1">
        <f t="array" ref="DQ56">INDEX('Energy 325'!$Q:$Q,$DN56)</f>
        <v>676.86900000000003</v>
      </c>
      <c r="DR56" cm="1">
        <f t="array" ref="DR56">INDEX('Energy 325'!$R:$R,$DN56)</f>
        <v>116.16500000000001</v>
      </c>
      <c r="DT56" t="s">
        <v>85</v>
      </c>
      <c r="DU56" t="str" cm="1">
        <f t="array" ref="DU56">INDEX('Energy 325'!$B:$B,$DN56)</f>
        <v>dense</v>
      </c>
      <c r="DV56" cm="1">
        <f t="array" ref="DV56">INDEX('Energy 325'!$N:$N,$DN56)</f>
        <v>11355.98</v>
      </c>
      <c r="DW56" cm="1">
        <f t="array" ref="DW56">INDEX('Energy 325'!$O:$O,$DN56)</f>
        <v>1948.932</v>
      </c>
    </row>
    <row r="57" spans="71:127" x14ac:dyDescent="0.35">
      <c r="BS57" t="str">
        <f>Energy!B57</f>
        <v>MIXED</v>
      </c>
      <c r="BT57" t="str">
        <f>Energy!F57</f>
        <v>512x512</v>
      </c>
      <c r="BU57">
        <f>Energy!Q57</f>
        <v>191.559</v>
      </c>
      <c r="BV57">
        <f>Energy!R57</f>
        <v>36.340000000000003</v>
      </c>
      <c r="BX57">
        <f t="shared" si="9"/>
        <v>22</v>
      </c>
      <c r="BY57" t="str" cm="1">
        <f t="array" ref="BY57">IF(MOD(ROW()-2,6)=2,INDEX(Energy!$F:$F,$BX57),"")</f>
        <v/>
      </c>
      <c r="BZ57" t="str" cm="1">
        <f t="array" ref="BZ57">INDEX(Energy!$B:$B,$BX57)</f>
        <v>2:4</v>
      </c>
      <c r="CA57" cm="1">
        <f t="array" ref="CA57">INDEX(Energy!$Q:$Q,$BX57)</f>
        <v>415.65199999999999</v>
      </c>
      <c r="CB57" cm="1">
        <f t="array" ref="CB57">INDEX(Energy!$R:$R,$BX57)</f>
        <v>69.694000000000003</v>
      </c>
      <c r="CE57" t="str" cm="1">
        <f t="array" ref="CE57">INDEX(Energy!$B:$B,$BX57)</f>
        <v>2:4</v>
      </c>
      <c r="CF57" cm="1">
        <f t="array" ref="CF57">INDEX(Energy!$N:$N,$BX57)</f>
        <v>6973.4830000000002</v>
      </c>
      <c r="CG57" cm="1">
        <f t="array" ref="CG57">INDEX(Energy!$O:$O,$BX57)</f>
        <v>1169.2760000000001</v>
      </c>
      <c r="DN57">
        <f t="shared" si="10"/>
        <v>22</v>
      </c>
      <c r="DO57" t="str" cm="1">
        <f t="array" ref="DO57">IF(MOD(ROW()-2,6)=2,INDEX('Energy 325'!$F:$F,$DN57),"")</f>
        <v/>
      </c>
      <c r="DP57" t="str" cm="1">
        <f t="array" ref="DP57">INDEX('Energy 325'!$B:$B,$DN57)</f>
        <v>2:4</v>
      </c>
      <c r="DQ57" cm="1">
        <f t="array" ref="DQ57">INDEX('Energy 325'!$Q:$Q,$DN57)</f>
        <v>374.21300000000002</v>
      </c>
      <c r="DR57" cm="1">
        <f t="array" ref="DR57">INDEX('Energy 325'!$R:$R,$DN57)</f>
        <v>72.311999999999998</v>
      </c>
      <c r="DU57" t="str" cm="1">
        <f t="array" ref="DU57">INDEX('Energy 325'!$B:$B,$DN57)</f>
        <v>2:4</v>
      </c>
      <c r="DV57" cm="1">
        <f t="array" ref="DV57">INDEX('Energy 325'!$N:$N,$DN57)</f>
        <v>6278.2569999999996</v>
      </c>
      <c r="DW57" cm="1">
        <f t="array" ref="DW57">INDEX('Energy 325'!$O:$O,$DN57)</f>
        <v>1213.193</v>
      </c>
    </row>
    <row r="58" spans="71:127" x14ac:dyDescent="0.35">
      <c r="BS58" t="str">
        <f>Energy!B58</f>
        <v>MIXED</v>
      </c>
      <c r="BT58" t="str">
        <f>Energy!F58</f>
        <v>768x768</v>
      </c>
      <c r="BU58">
        <f>Energy!Q58</f>
        <v>190.92599999999999</v>
      </c>
      <c r="BV58">
        <f>Energy!R58</f>
        <v>36.22</v>
      </c>
      <c r="BX58">
        <f t="shared" si="9"/>
        <v>33</v>
      </c>
      <c r="BY58" t="str" cm="1">
        <f t="array" ref="BY58">IF(MOD(ROW()-2,6)=2,INDEX(Energy!$F:$F,$BX58),"")</f>
        <v>8192x2048</v>
      </c>
      <c r="BZ58" t="str" cm="1">
        <f t="array" ref="BZ58">INDEX(Energy!$B:$B,$BX58)</f>
        <v>2:8</v>
      </c>
      <c r="CA58" cm="1">
        <f t="array" ref="CA58">INDEX(Energy!$Q:$Q,$BX58)</f>
        <v>207.559</v>
      </c>
      <c r="CB58" cm="1">
        <f t="array" ref="CB58">INDEX(Energy!$R:$R,$BX58)</f>
        <v>36.067999999999998</v>
      </c>
      <c r="CE58" t="str" cm="1">
        <f t="array" ref="CE58">INDEX(Energy!$B:$B,$BX58)</f>
        <v>2:8</v>
      </c>
      <c r="CF58" cm="1">
        <f t="array" ref="CF58">INDEX(Energy!$N:$N,$BX58)</f>
        <v>3482.259</v>
      </c>
      <c r="CG58" cm="1">
        <f t="array" ref="CG58">INDEX(Energy!$O:$O,$BX58)</f>
        <v>605.12</v>
      </c>
      <c r="DN58">
        <f t="shared" si="10"/>
        <v>33</v>
      </c>
      <c r="DO58" t="str" cm="1">
        <f t="array" ref="DO58">IF(MOD(ROW()-2,6)=2,INDEX('Energy 325'!$F:$F,$DN58),"")</f>
        <v>8192x2048</v>
      </c>
      <c r="DP58" t="str" cm="1">
        <f t="array" ref="DP58">INDEX('Energy 325'!$B:$B,$DN58)</f>
        <v>2:8</v>
      </c>
      <c r="DQ58" cm="1">
        <f t="array" ref="DQ58">INDEX('Energy 325'!$Q:$Q,$DN58)</f>
        <v>187.54499999999999</v>
      </c>
      <c r="DR58" cm="1">
        <f t="array" ref="DR58">INDEX('Energy 325'!$R:$R,$DN58)</f>
        <v>32.878</v>
      </c>
      <c r="DU58" t="str" cm="1">
        <f t="array" ref="DU58">INDEX('Energy 325'!$B:$B,$DN58)</f>
        <v>2:8</v>
      </c>
      <c r="DV58" cm="1">
        <f t="array" ref="DV58">INDEX('Energy 325'!$N:$N,$DN58)</f>
        <v>3146.4850000000001</v>
      </c>
      <c r="DW58" cm="1">
        <f t="array" ref="DW58">INDEX('Energy 325'!$O:$O,$DN58)</f>
        <v>551.60500000000002</v>
      </c>
    </row>
    <row r="59" spans="71:127" x14ac:dyDescent="0.35">
      <c r="BS59" t="str">
        <f>Energy!B59</f>
        <v>MIXED</v>
      </c>
      <c r="BT59" t="str">
        <f>Energy!F59</f>
        <v>1024x1024</v>
      </c>
      <c r="BU59">
        <f>Energy!Q59</f>
        <v>187.31</v>
      </c>
      <c r="BV59">
        <f>Energy!R59</f>
        <v>35.533999999999999</v>
      </c>
      <c r="BX59">
        <f t="shared" si="9"/>
        <v>44</v>
      </c>
      <c r="BY59" t="str" cm="1">
        <f t="array" ref="BY59">IF(MOD(ROW()-2,6)=2,INDEX(Energy!$F:$F,$BX59),"")</f>
        <v/>
      </c>
      <c r="BZ59" t="str" cm="1">
        <f t="array" ref="BZ59">INDEX(Energy!$B:$B,$BX59)</f>
        <v>2:16</v>
      </c>
      <c r="CA59" cm="1">
        <f t="array" ref="CA59">INDEX(Energy!$Q:$Q,$BX59)</f>
        <v>103.131</v>
      </c>
      <c r="CB59" cm="1">
        <f t="array" ref="CB59">INDEX(Energy!$R:$R,$BX59)</f>
        <v>18.608000000000001</v>
      </c>
      <c r="CE59" t="str" cm="1">
        <f t="array" ref="CE59">INDEX(Energy!$B:$B,$BX59)</f>
        <v>2:16</v>
      </c>
      <c r="CF59" cm="1">
        <f t="array" ref="CF59">INDEX(Energy!$N:$N,$BX59)</f>
        <v>1730.251</v>
      </c>
      <c r="CG59" cm="1">
        <f t="array" ref="CG59">INDEX(Energy!$O:$O,$BX59)</f>
        <v>312.19799999999998</v>
      </c>
      <c r="DN59">
        <f t="shared" si="10"/>
        <v>44</v>
      </c>
      <c r="DO59" t="str" cm="1">
        <f t="array" ref="DO59">IF(MOD(ROW()-2,6)=2,INDEX('Energy 325'!$F:$F,$DN59),"")</f>
        <v/>
      </c>
      <c r="DP59" t="str" cm="1">
        <f t="array" ref="DP59">INDEX('Energy 325'!$B:$B,$DN59)</f>
        <v>2:16</v>
      </c>
      <c r="DQ59" cm="1">
        <f t="array" ref="DQ59">INDEX('Energy 325'!$Q:$Q,$DN59)</f>
        <v>94.287999999999997</v>
      </c>
      <c r="DR59" cm="1">
        <f t="array" ref="DR59">INDEX('Energy 325'!$R:$R,$DN59)</f>
        <v>18.367000000000001</v>
      </c>
      <c r="DU59" t="str" cm="1">
        <f t="array" ref="DU59">INDEX('Energy 325'!$B:$B,$DN59)</f>
        <v>2:16</v>
      </c>
      <c r="DV59" cm="1">
        <f t="array" ref="DV59">INDEX('Energy 325'!$N:$N,$DN59)</f>
        <v>1581.8920000000001</v>
      </c>
      <c r="DW59" cm="1">
        <f t="array" ref="DW59">INDEX('Energy 325'!$O:$O,$DN59)</f>
        <v>308.14400000000001</v>
      </c>
    </row>
    <row r="60" spans="71:127" x14ac:dyDescent="0.35">
      <c r="BS60" t="str">
        <f>Energy!B60</f>
        <v>MIXED</v>
      </c>
      <c r="BT60" t="str">
        <f>Energy!F60</f>
        <v>3072x768</v>
      </c>
      <c r="BU60">
        <f>Energy!Q60</f>
        <v>188.971</v>
      </c>
      <c r="BV60">
        <f>Energy!R60</f>
        <v>35.848999999999997</v>
      </c>
      <c r="BX60">
        <f t="shared" si="9"/>
        <v>55</v>
      </c>
      <c r="BY60" t="str" cm="1">
        <f t="array" ref="BY60">IF(MOD(ROW()-2,6)=2,INDEX(Energy!$F:$F,$BX60),"")</f>
        <v/>
      </c>
      <c r="BZ60" t="str" cm="1">
        <f t="array" ref="BZ60">INDEX(Energy!$B:$B,$BX60)</f>
        <v>2:32</v>
      </c>
      <c r="CA60" cm="1">
        <f t="array" ref="CA60">INDEX(Energy!$Q:$Q,$BX60)</f>
        <v>51.67</v>
      </c>
      <c r="CB60" cm="1">
        <f t="array" ref="CB60">INDEX(Energy!$R:$R,$BX60)</f>
        <v>9.2080000000000002</v>
      </c>
      <c r="CE60" t="str" cm="1">
        <f t="array" ref="CE60">INDEX(Energy!$B:$B,$BX60)</f>
        <v>2:32</v>
      </c>
      <c r="CF60" cm="1">
        <f t="array" ref="CF60">INDEX(Energy!$N:$N,$BX60)</f>
        <v>866.88099999999997</v>
      </c>
      <c r="CG60" cm="1">
        <f t="array" ref="CG60">INDEX(Energy!$O:$O,$BX60)</f>
        <v>154.48500000000001</v>
      </c>
      <c r="DN60">
        <f t="shared" si="10"/>
        <v>55</v>
      </c>
      <c r="DO60" t="str" cm="1">
        <f t="array" ref="DO60">IF(MOD(ROW()-2,6)=2,INDEX('Energy 325'!$F:$F,$DN60),"")</f>
        <v/>
      </c>
      <c r="DP60" t="str" cm="1">
        <f t="array" ref="DP60">INDEX('Energy 325'!$B:$B,$DN60)</f>
        <v>2:32</v>
      </c>
      <c r="DQ60" cm="1">
        <f t="array" ref="DQ60">INDEX('Energy 325'!$Q:$Q,$DN60)</f>
        <v>47.311999999999998</v>
      </c>
      <c r="DR60" cm="1">
        <f t="array" ref="DR60">INDEX('Energy 325'!$R:$R,$DN60)</f>
        <v>9.3610000000000007</v>
      </c>
      <c r="DU60" t="str" cm="1">
        <f t="array" ref="DU60">INDEX('Energy 325'!$B:$B,$DN60)</f>
        <v>2:32</v>
      </c>
      <c r="DV60" cm="1">
        <f t="array" ref="DV60">INDEX('Energy 325'!$N:$N,$DN60)</f>
        <v>793.75699999999995</v>
      </c>
      <c r="DW60" cm="1">
        <f t="array" ref="DW60">INDEX('Energy 325'!$O:$O,$DN60)</f>
        <v>157.04499999999999</v>
      </c>
    </row>
    <row r="61" spans="71:127" x14ac:dyDescent="0.35">
      <c r="BS61" t="str">
        <f>Energy!B61</f>
        <v>MIXED</v>
      </c>
      <c r="BT61" t="str">
        <f>Energy!F61</f>
        <v>768x3072</v>
      </c>
      <c r="BU61">
        <f>Energy!Q61</f>
        <v>188.58699999999999</v>
      </c>
      <c r="BV61">
        <f>Energy!R61</f>
        <v>35.776000000000003</v>
      </c>
      <c r="BX61">
        <f t="shared" si="9"/>
        <v>66</v>
      </c>
      <c r="BY61" t="str" cm="1">
        <f t="array" ref="BY61">IF(MOD(ROW()-2,6)=2,INDEX(Energy!$F:$F,$BX61),"")</f>
        <v/>
      </c>
      <c r="BZ61" t="str" cm="1">
        <f t="array" ref="BZ61">INDEX(Energy!$B:$B,$BX61)</f>
        <v>MIXED</v>
      </c>
      <c r="CA61" cm="1">
        <f t="array" ref="CA61">INDEX(Energy!$Q:$Q,$BX61)</f>
        <v>191.30099999999999</v>
      </c>
      <c r="CB61" cm="1">
        <f t="array" ref="CB61">INDEX(Energy!$R:$R,$BX61)</f>
        <v>36.290999999999997</v>
      </c>
      <c r="CE61" t="str" cm="1">
        <f t="array" ref="CE61">INDEX(Energy!$B:$B,$BX61)</f>
        <v>MIXED</v>
      </c>
      <c r="CF61" cm="1">
        <f t="array" ref="CF61">INDEX(Energy!$N:$N,$BX61)</f>
        <v>3209.5</v>
      </c>
      <c r="CG61" cm="1">
        <f t="array" ref="CG61">INDEX(Energy!$O:$O,$BX61)</f>
        <v>608.85699999999997</v>
      </c>
      <c r="DN61">
        <f t="shared" si="10"/>
        <v>66</v>
      </c>
      <c r="DO61" t="str" cm="1">
        <f t="array" ref="DO61">IF(MOD(ROW()-2,6)=2,INDEX('Energy 325'!$F:$F,$DN61),"")</f>
        <v/>
      </c>
      <c r="DP61" t="str" cm="1">
        <f t="array" ref="DP61">INDEX('Energy 325'!$B:$B,$DN61)</f>
        <v>MIXED</v>
      </c>
      <c r="DQ61" cm="1">
        <f t="array" ref="DQ61">INDEX('Energy 325'!$Q:$Q,$DN61)</f>
        <v>175.48699999999999</v>
      </c>
      <c r="DR61" cm="1">
        <f t="array" ref="DR61">INDEX('Energy 325'!$R:$R,$DN61)</f>
        <v>31.722999999999999</v>
      </c>
      <c r="DU61" t="str" cm="1">
        <f t="array" ref="DU61">INDEX('Energy 325'!$B:$B,$DN61)</f>
        <v>MIXED</v>
      </c>
      <c r="DV61" cm="1">
        <f t="array" ref="DV61">INDEX('Energy 325'!$N:$N,$DN61)</f>
        <v>2944.183</v>
      </c>
      <c r="DW61" cm="1">
        <f t="array" ref="DW61">INDEX('Energy 325'!$O:$O,$DN61)</f>
        <v>532.22799999999995</v>
      </c>
    </row>
    <row r="62" spans="71:127" x14ac:dyDescent="0.35">
      <c r="BS62" t="str">
        <f>Energy!B62</f>
        <v>MIXED</v>
      </c>
      <c r="BT62" t="str">
        <f>Energy!F62</f>
        <v>4096x1024</v>
      </c>
      <c r="BU62">
        <f>Energy!Q62</f>
        <v>189.761</v>
      </c>
      <c r="BV62">
        <f>Energy!R62</f>
        <v>35.999000000000002</v>
      </c>
      <c r="BX62">
        <f t="shared" si="9"/>
        <v>12</v>
      </c>
      <c r="BY62" t="str" cm="1">
        <f t="array" ref="BY62">IF(MOD(ROW()-2,6)=2,INDEX(Energy!$F:$F,$BX62),"")</f>
        <v/>
      </c>
      <c r="BZ62" t="str" cm="1">
        <f t="array" ref="BZ62">INDEX(Energy!$B:$B,$BX62)</f>
        <v>dense</v>
      </c>
      <c r="CA62" cm="1">
        <f t="array" ref="CA62">INDEX(Energy!$Q:$Q,$BX62)</f>
        <v>741.90099999999995</v>
      </c>
      <c r="CB62" cm="1">
        <f t="array" ref="CB62">INDEX(Energy!$R:$R,$BX62)</f>
        <v>119.06100000000001</v>
      </c>
      <c r="CD62" t="s">
        <v>87</v>
      </c>
      <c r="CE62" t="str" cm="1">
        <f t="array" ref="CE62">INDEX(Energy!$B:$B,$BX62)</f>
        <v>dense</v>
      </c>
      <c r="CF62" cm="1">
        <f t="array" ref="CF62">INDEX(Energy!$N:$N,$BX62)</f>
        <v>12447.026</v>
      </c>
      <c r="CG62" cm="1">
        <f t="array" ref="CG62">INDEX(Energy!$O:$O,$BX62)</f>
        <v>1997.508</v>
      </c>
      <c r="DN62">
        <f t="shared" si="10"/>
        <v>12</v>
      </c>
      <c r="DO62" t="str" cm="1">
        <f t="array" ref="DO62">IF(MOD(ROW()-2,6)=2,INDEX('Energy 325'!$F:$F,$DN62),"")</f>
        <v/>
      </c>
      <c r="DP62" t="str" cm="1">
        <f t="array" ref="DP62">INDEX('Energy 325'!$B:$B,$DN62)</f>
        <v>dense</v>
      </c>
      <c r="DQ62" cm="1">
        <f t="array" ref="DQ62">INDEX('Energy 325'!$Q:$Q,$DN62)</f>
        <v>679.65300000000002</v>
      </c>
      <c r="DR62" cm="1">
        <f t="array" ref="DR62">INDEX('Energy 325'!$R:$R,$DN62)</f>
        <v>116.643</v>
      </c>
      <c r="DT62" t="s">
        <v>87</v>
      </c>
      <c r="DU62" t="str" cm="1">
        <f t="array" ref="DU62">INDEX('Energy 325'!$B:$B,$DN62)</f>
        <v>dense</v>
      </c>
      <c r="DV62" cm="1">
        <f t="array" ref="DV62">INDEX('Energy 325'!$N:$N,$DN62)</f>
        <v>11402.677</v>
      </c>
      <c r="DW62" cm="1">
        <f t="array" ref="DW62">INDEX('Energy 325'!$O:$O,$DN62)</f>
        <v>1956.9459999999999</v>
      </c>
    </row>
    <row r="63" spans="71:127" x14ac:dyDescent="0.35">
      <c r="BS63" t="str">
        <f>Energy!B63</f>
        <v>MIXED</v>
      </c>
      <c r="BT63" t="str">
        <f>Energy!F63</f>
        <v>1024x4096</v>
      </c>
      <c r="BU63">
        <f>Energy!Q63</f>
        <v>188.167</v>
      </c>
      <c r="BV63">
        <f>Energy!R63</f>
        <v>35.695999999999998</v>
      </c>
      <c r="BX63">
        <f t="shared" si="9"/>
        <v>23</v>
      </c>
      <c r="BY63" t="str" cm="1">
        <f t="array" ref="BY63">IF(MOD(ROW()-2,6)=2,INDEX(Energy!$F:$F,$BX63),"")</f>
        <v/>
      </c>
      <c r="BZ63" t="str" cm="1">
        <f t="array" ref="BZ63">INDEX(Energy!$B:$B,$BX63)</f>
        <v>2:4</v>
      </c>
      <c r="CA63" cm="1">
        <f t="array" ref="CA63">INDEX(Energy!$Q:$Q,$BX63)</f>
        <v>412.66399999999999</v>
      </c>
      <c r="CB63" cm="1">
        <f t="array" ref="CB63">INDEX(Energy!$R:$R,$BX63)</f>
        <v>69.192999999999998</v>
      </c>
      <c r="CE63" t="str" cm="1">
        <f t="array" ref="CE63">INDEX(Energy!$B:$B,$BX63)</f>
        <v>2:4</v>
      </c>
      <c r="CF63" cm="1">
        <f t="array" ref="CF63">INDEX(Energy!$N:$N,$BX63)</f>
        <v>6923.3450000000003</v>
      </c>
      <c r="CG63" cm="1">
        <f t="array" ref="CG63">INDEX(Energy!$O:$O,$BX63)</f>
        <v>1160.8689999999999</v>
      </c>
      <c r="DN63">
        <f t="shared" si="10"/>
        <v>23</v>
      </c>
      <c r="DO63" t="str" cm="1">
        <f t="array" ref="DO63">IF(MOD(ROW()-2,6)=2,INDEX('Energy 325'!$F:$F,$DN63),"")</f>
        <v/>
      </c>
      <c r="DP63" t="str" cm="1">
        <f t="array" ref="DP63">INDEX('Energy 325'!$B:$B,$DN63)</f>
        <v>2:4</v>
      </c>
      <c r="DQ63" cm="1">
        <f t="array" ref="DQ63">INDEX('Energy 325'!$Q:$Q,$DN63)</f>
        <v>372.22500000000002</v>
      </c>
      <c r="DR63" cm="1">
        <f t="array" ref="DR63">INDEX('Energy 325'!$R:$R,$DN63)</f>
        <v>71.927999999999997</v>
      </c>
      <c r="DU63" t="str" cm="1">
        <f t="array" ref="DU63">INDEX('Energy 325'!$B:$B,$DN63)</f>
        <v>2:4</v>
      </c>
      <c r="DV63" cm="1">
        <f t="array" ref="DV63">INDEX('Energy 325'!$N:$N,$DN63)</f>
        <v>6244.9</v>
      </c>
      <c r="DW63" cm="1">
        <f t="array" ref="DW63">INDEX('Energy 325'!$O:$O,$DN63)</f>
        <v>1206.7470000000001</v>
      </c>
    </row>
    <row r="64" spans="71:127" x14ac:dyDescent="0.35">
      <c r="BS64" t="str">
        <f>Energy!B64</f>
        <v>MIXED</v>
      </c>
      <c r="BT64" t="str">
        <f>Energy!F64</f>
        <v>2048x2048</v>
      </c>
      <c r="BU64">
        <f>Energy!Q64</f>
        <v>189.13200000000001</v>
      </c>
      <c r="BV64">
        <f>Energy!R64</f>
        <v>35.878999999999998</v>
      </c>
      <c r="BX64">
        <f t="shared" si="9"/>
        <v>34</v>
      </c>
      <c r="BY64" t="str" cm="1">
        <f t="array" ref="BY64">IF(MOD(ROW()-2,6)=2,INDEX(Energy!$F:$F,$BX64),"")</f>
        <v>2048x8192</v>
      </c>
      <c r="BZ64" t="str" cm="1">
        <f t="array" ref="BZ64">INDEX(Energy!$B:$B,$BX64)</f>
        <v>2:8</v>
      </c>
      <c r="CA64" cm="1">
        <f t="array" ref="CA64">INDEX(Energy!$Q:$Q,$BX64)</f>
        <v>206.37200000000001</v>
      </c>
      <c r="CB64" cm="1">
        <f t="array" ref="CB64">INDEX(Energy!$R:$R,$BX64)</f>
        <v>35.862000000000002</v>
      </c>
      <c r="CE64" t="str" cm="1">
        <f t="array" ref="CE64">INDEX(Energy!$B:$B,$BX64)</f>
        <v>2:8</v>
      </c>
      <c r="CF64" cm="1">
        <f t="array" ref="CF64">INDEX(Energy!$N:$N,$BX64)</f>
        <v>3462.3539999999998</v>
      </c>
      <c r="CG64" cm="1">
        <f t="array" ref="CG64">INDEX(Energy!$O:$O,$BX64)</f>
        <v>601.66099999999994</v>
      </c>
      <c r="DN64">
        <f t="shared" si="10"/>
        <v>34</v>
      </c>
      <c r="DO64" t="str" cm="1">
        <f t="array" ref="DO64">IF(MOD(ROW()-2,6)=2,INDEX('Energy 325'!$F:$F,$DN64),"")</f>
        <v>2048x8192</v>
      </c>
      <c r="DP64" t="str" cm="1">
        <f t="array" ref="DP64">INDEX('Energy 325'!$B:$B,$DN64)</f>
        <v>2:8</v>
      </c>
      <c r="DQ64" cm="1">
        <f t="array" ref="DQ64">INDEX('Energy 325'!$Q:$Q,$DN64)</f>
        <v>188.65299999999999</v>
      </c>
      <c r="DR64" cm="1">
        <f t="array" ref="DR64">INDEX('Energy 325'!$R:$R,$DN64)</f>
        <v>33.072000000000003</v>
      </c>
      <c r="DU64" t="str" cm="1">
        <f t="array" ref="DU64">INDEX('Energy 325'!$B:$B,$DN64)</f>
        <v>2:8</v>
      </c>
      <c r="DV64" cm="1">
        <f t="array" ref="DV64">INDEX('Energy 325'!$N:$N,$DN64)</f>
        <v>3165.0659999999998</v>
      </c>
      <c r="DW64" cm="1">
        <f t="array" ref="DW64">INDEX('Energy 325'!$O:$O,$DN64)</f>
        <v>554.86199999999997</v>
      </c>
    </row>
    <row r="65" spans="71:127" x14ac:dyDescent="0.35">
      <c r="BS65" t="str">
        <f>Energy!B65</f>
        <v>MIXED</v>
      </c>
      <c r="BT65" t="str">
        <f>Energy!F65</f>
        <v>4096x4096</v>
      </c>
      <c r="BU65">
        <f>Energy!Q65</f>
        <v>188.102</v>
      </c>
      <c r="BV65">
        <f>Energy!R65</f>
        <v>35.683999999999997</v>
      </c>
      <c r="BX65">
        <f t="shared" si="9"/>
        <v>45</v>
      </c>
      <c r="BY65" t="str" cm="1">
        <f t="array" ref="BY65">IF(MOD(ROW()-2,6)=2,INDEX(Energy!$F:$F,$BX65),"")</f>
        <v/>
      </c>
      <c r="BZ65" t="str" cm="1">
        <f t="array" ref="BZ65">INDEX(Energy!$B:$B,$BX65)</f>
        <v>2:16</v>
      </c>
      <c r="CA65" cm="1">
        <f t="array" ref="CA65">INDEX(Energy!$Q:$Q,$BX65)</f>
        <v>102.553</v>
      </c>
      <c r="CB65" cm="1">
        <f t="array" ref="CB65">INDEX(Energy!$R:$R,$BX65)</f>
        <v>18.504000000000001</v>
      </c>
      <c r="CE65" t="str" cm="1">
        <f t="array" ref="CE65">INDEX(Energy!$B:$B,$BX65)</f>
        <v>2:16</v>
      </c>
      <c r="CF65" cm="1">
        <f t="array" ref="CF65">INDEX(Energy!$N:$N,$BX65)</f>
        <v>1720.56</v>
      </c>
      <c r="CG65" cm="1">
        <f t="array" ref="CG65">INDEX(Energy!$O:$O,$BX65)</f>
        <v>310.45</v>
      </c>
      <c r="DN65">
        <f t="shared" si="10"/>
        <v>45</v>
      </c>
      <c r="DO65" t="str" cm="1">
        <f t="array" ref="DO65">IF(MOD(ROW()-2,6)=2,INDEX('Energy 325'!$F:$F,$DN65),"")</f>
        <v/>
      </c>
      <c r="DP65" t="str" cm="1">
        <f t="array" ref="DP65">INDEX('Energy 325'!$B:$B,$DN65)</f>
        <v>2:16</v>
      </c>
      <c r="DQ65" cm="1">
        <f t="array" ref="DQ65">INDEX('Energy 325'!$Q:$Q,$DN65)</f>
        <v>93.641999999999996</v>
      </c>
      <c r="DR65" cm="1">
        <f t="array" ref="DR65">INDEX('Energy 325'!$R:$R,$DN65)</f>
        <v>18.241</v>
      </c>
      <c r="DU65" t="str" cm="1">
        <f t="array" ref="DU65">INDEX('Energy 325'!$B:$B,$DN65)</f>
        <v>2:16</v>
      </c>
      <c r="DV65" cm="1">
        <f t="array" ref="DV65">INDEX('Energy 325'!$N:$N,$DN65)</f>
        <v>1571.059</v>
      </c>
      <c r="DW65" cm="1">
        <f t="array" ref="DW65">INDEX('Energy 325'!$O:$O,$DN65)</f>
        <v>306.03399999999999</v>
      </c>
    </row>
    <row r="66" spans="71:127" x14ac:dyDescent="0.35">
      <c r="BS66" t="str">
        <f>Energy!B66</f>
        <v>MIXED</v>
      </c>
      <c r="BT66" t="str">
        <f>Energy!F66</f>
        <v>8192x2048</v>
      </c>
      <c r="BU66">
        <f>Energy!Q66</f>
        <v>191.30099999999999</v>
      </c>
      <c r="BV66">
        <f>Energy!R66</f>
        <v>36.290999999999997</v>
      </c>
      <c r="BX66">
        <f t="shared" si="9"/>
        <v>56</v>
      </c>
      <c r="BY66" t="str" cm="1">
        <f t="array" ref="BY66">IF(MOD(ROW()-2,6)=2,INDEX(Energy!$F:$F,$BX66),"")</f>
        <v/>
      </c>
      <c r="BZ66" t="str" cm="1">
        <f t="array" ref="BZ66">INDEX(Energy!$B:$B,$BX66)</f>
        <v>2:32</v>
      </c>
      <c r="CA66" cm="1">
        <f t="array" ref="CA66">INDEX(Energy!$Q:$Q,$BX66)</f>
        <v>50.777999999999999</v>
      </c>
      <c r="CB66" cm="1">
        <f t="array" ref="CB66">INDEX(Energy!$R:$R,$BX66)</f>
        <v>9.0489999999999995</v>
      </c>
      <c r="CE66" t="str" cm="1">
        <f t="array" ref="CE66">INDEX(Energy!$B:$B,$BX66)</f>
        <v>2:32</v>
      </c>
      <c r="CF66" cm="1">
        <f t="array" ref="CF66">INDEX(Energy!$N:$N,$BX66)</f>
        <v>851.90800000000002</v>
      </c>
      <c r="CG66" cm="1">
        <f t="array" ref="CG66">INDEX(Energy!$O:$O,$BX66)</f>
        <v>151.81700000000001</v>
      </c>
      <c r="DN66">
        <f t="shared" si="10"/>
        <v>56</v>
      </c>
      <c r="DO66" t="str" cm="1">
        <f t="array" ref="DO66">IF(MOD(ROW()-2,6)=2,INDEX('Energy 325'!$F:$F,$DN66),"")</f>
        <v/>
      </c>
      <c r="DP66" t="str" cm="1">
        <f t="array" ref="DP66">INDEX('Energy 325'!$B:$B,$DN66)</f>
        <v>2:32</v>
      </c>
      <c r="DQ66" cm="1">
        <f t="array" ref="DQ66">INDEX('Energy 325'!$Q:$Q,$DN66)</f>
        <v>46.664000000000001</v>
      </c>
      <c r="DR66" cm="1">
        <f t="array" ref="DR66">INDEX('Energy 325'!$R:$R,$DN66)</f>
        <v>9.2319999999999993</v>
      </c>
      <c r="DU66" t="str" cm="1">
        <f t="array" ref="DU66">INDEX('Energy 325'!$B:$B,$DN66)</f>
        <v>2:32</v>
      </c>
      <c r="DV66" cm="1">
        <f t="array" ref="DV66">INDEX('Energy 325'!$N:$N,$DN66)</f>
        <v>782.88699999999994</v>
      </c>
      <c r="DW66" cm="1">
        <f t="array" ref="DW66">INDEX('Energy 325'!$O:$O,$DN66)</f>
        <v>154.89500000000001</v>
      </c>
    </row>
    <row r="67" spans="71:127" x14ac:dyDescent="0.35">
      <c r="BS67" t="str">
        <f>Energy!B67</f>
        <v>MIXED</v>
      </c>
      <c r="BT67" t="str">
        <f>Energy!F67</f>
        <v>2048x8192</v>
      </c>
      <c r="BU67">
        <f>Energy!Q67</f>
        <v>188.04400000000001</v>
      </c>
      <c r="BV67">
        <f>Energy!R67</f>
        <v>35.673000000000002</v>
      </c>
      <c r="BX67">
        <f t="shared" ref="BX67" si="12">MOD(ROW()-2,6)*11+INT((ROW()-2)/6)+2</f>
        <v>67</v>
      </c>
      <c r="BY67" t="str" cm="1">
        <f t="array" ref="BY67">IF(MOD(ROW()-2,6)=2,INDEX(Energy!$F:$F,$BX67),"")</f>
        <v/>
      </c>
      <c r="BZ67" t="str" cm="1">
        <f t="array" ref="BZ67">INDEX(Energy!$B:$B,$BX67)</f>
        <v>MIXED</v>
      </c>
      <c r="CA67" cm="1">
        <f t="array" ref="CA67">INDEX(Energy!$Q:$Q,$BX67)</f>
        <v>188.04400000000001</v>
      </c>
      <c r="CB67" cm="1">
        <f t="array" ref="CB67">INDEX(Energy!$R:$R,$BX67)</f>
        <v>35.673000000000002</v>
      </c>
      <c r="CE67" t="str" cm="1">
        <f t="array" ref="CE67">INDEX(Energy!$B:$B,$BX67)</f>
        <v>MIXED</v>
      </c>
      <c r="CF67" cm="1">
        <f t="array" ref="CF67">INDEX(Energy!$N:$N,$BX67)</f>
        <v>3154.8470000000002</v>
      </c>
      <c r="CG67" cm="1">
        <f t="array" ref="CG67">INDEX(Energy!$O:$O,$BX67)</f>
        <v>598.48900000000003</v>
      </c>
      <c r="DN67">
        <f t="shared" ref="DN67" si="13">MOD(ROW()-2,6)*11+INT((ROW()-2)/6)+2</f>
        <v>67</v>
      </c>
      <c r="DO67" t="str" cm="1">
        <f t="array" ref="DO67">IF(MOD(ROW()-2,6)=2,INDEX('Energy 325'!$F:$F,$DN67),"")</f>
        <v/>
      </c>
      <c r="DP67" t="str" cm="1">
        <f t="array" ref="DP67">INDEX('Energy 325'!$B:$B,$DN67)</f>
        <v>MIXED</v>
      </c>
      <c r="DQ67" cm="1">
        <f t="array" ref="DQ67">INDEX('Energy 325'!$Q:$Q,$DN67)</f>
        <v>174.542</v>
      </c>
      <c r="DR67" cm="1">
        <f t="array" ref="DR67">INDEX('Energy 325'!$R:$R,$DN67)</f>
        <v>31.552</v>
      </c>
      <c r="DU67" t="str" cm="1">
        <f t="array" ref="DU67">INDEX('Energy 325'!$B:$B,$DN67)</f>
        <v>MIXED</v>
      </c>
      <c r="DV67" cm="1">
        <f t="array" ref="DV67">INDEX('Energy 325'!$N:$N,$DN67)</f>
        <v>2928.3270000000002</v>
      </c>
      <c r="DW67" cm="1">
        <f t="array" ref="DW67">INDEX('Energy 325'!$O:$O,$DN67)</f>
        <v>529.36099999999999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BAD2-3957-4B54-84EE-860FE2FCB01E}">
  <sheetPr>
    <tabColor rgb="FF7030A0"/>
  </sheetPr>
  <dimension ref="A1"/>
  <sheetViews>
    <sheetView tabSelected="1" zoomScale="58" zoomScaleNormal="25" workbookViewId="0">
      <selection activeCell="AA350" sqref="AA35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42EA-03AA-4C66-88B7-B1E2C5F50A69}">
  <sheetPr>
    <tabColor rgb="FF002060"/>
  </sheetPr>
  <dimension ref="A1"/>
  <sheetViews>
    <sheetView topLeftCell="A31" zoomScale="55" zoomScaleNormal="55" workbookViewId="0">
      <selection activeCell="U130" sqref="U13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E346-3DC5-4ABA-8A9C-A0E110FF6093}">
  <dimension ref="A1"/>
  <sheetViews>
    <sheetView topLeftCell="A43" zoomScale="40" zoomScaleNormal="40" workbookViewId="0">
      <selection activeCell="AH72" sqref="AH7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F7BB-696C-4760-BADE-5953310C7962}">
  <dimension ref="A1"/>
  <sheetViews>
    <sheetView topLeftCell="A115" zoomScale="70" zoomScaleNormal="70" workbookViewId="0">
      <selection activeCell="AD23" sqref="AD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221A-6286-4340-B4A1-A1BA6F67FC2E}">
  <dimension ref="A1"/>
  <sheetViews>
    <sheetView topLeftCell="A88" zoomScale="70" zoomScaleNormal="70" workbookViewId="0">
      <selection activeCell="AD112" sqref="AD1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2B1A-CDDC-4860-A53B-E32EDB719499}">
  <dimension ref="AC1:AJ9"/>
  <sheetViews>
    <sheetView topLeftCell="K1" zoomScale="70" zoomScaleNormal="70" workbookViewId="0">
      <selection activeCell="AB20" sqref="AB20"/>
    </sheetView>
  </sheetViews>
  <sheetFormatPr defaultRowHeight="14.5" x14ac:dyDescent="0.35"/>
  <cols>
    <col min="29" max="29" width="20" customWidth="1"/>
    <col min="30" max="30" width="8.08984375" bestFit="1" customWidth="1"/>
    <col min="31" max="31" width="15.7265625" bestFit="1" customWidth="1"/>
    <col min="32" max="32" width="8.08984375" bestFit="1" customWidth="1"/>
    <col min="33" max="33" width="14.26953125" bestFit="1" customWidth="1"/>
    <col min="34" max="34" width="8.08984375" bestFit="1" customWidth="1"/>
    <col min="35" max="35" width="15.7265625" bestFit="1" customWidth="1"/>
    <col min="36" max="36" width="8.08984375" bestFit="1" customWidth="1"/>
  </cols>
  <sheetData>
    <row r="1" spans="29:36" ht="15.5" x14ac:dyDescent="0.35">
      <c r="AC1" s="10" t="s">
        <v>789</v>
      </c>
    </row>
    <row r="2" spans="29:36" ht="13.5" customHeight="1" x14ac:dyDescent="0.35">
      <c r="AC2" s="15" t="s">
        <v>790</v>
      </c>
      <c r="AD2" s="15" t="s">
        <v>791</v>
      </c>
      <c r="AE2" s="16" t="s">
        <v>792</v>
      </c>
      <c r="AF2" s="15" t="s">
        <v>793</v>
      </c>
      <c r="AG2" s="17" t="s">
        <v>794</v>
      </c>
      <c r="AH2" s="15" t="s">
        <v>793</v>
      </c>
      <c r="AI2" s="18" t="s">
        <v>795</v>
      </c>
      <c r="AJ2" s="15" t="s">
        <v>793</v>
      </c>
    </row>
    <row r="3" spans="29:36" x14ac:dyDescent="0.35">
      <c r="AC3" s="11" t="s">
        <v>796</v>
      </c>
      <c r="AD3" s="11" t="s">
        <v>797</v>
      </c>
      <c r="AE3" s="11" t="str">
        <f>INDEX(Workload!$A$2:$A$14,MATCH(SMALL(Workload!$AF$2:$AF$14,1),Workload!$AF$2:$AF$14,0))</f>
        <v>2 x 16x3 (26 ch)</v>
      </c>
      <c r="AF3" s="12">
        <f>SMALL(Workload!$AF$2:$AF$14,1)/1000</f>
        <v>6.7696999999999994</v>
      </c>
      <c r="AG3" s="11" t="str">
        <f>INDEX(Workload!$A$2:$A$14,MATCH(SMALL(Workload!$AF$2:$AF$14,2),Workload!$AF$2:$AF$14,0))</f>
        <v>4 x 4x4 (24 ch)</v>
      </c>
      <c r="AH3" s="12">
        <f>SMALL(Workload!$AF$2:$AF$14,2)/1000</f>
        <v>6.8167</v>
      </c>
      <c r="AI3" s="11" t="str">
        <f>INDEX(Workload!$A$2:$A$14,MATCH(SMALL(Workload!$AF$2:$AF$14,3),Workload!$AF$2:$AF$14,0))</f>
        <v>5 x 4x4 (30 ch)</v>
      </c>
      <c r="AJ3" s="12">
        <f>SMALL(Workload!$AF$2:$AF$14,3)/1000</f>
        <v>6.8775000000000004</v>
      </c>
    </row>
    <row r="4" spans="29:36" x14ac:dyDescent="0.35">
      <c r="AC4" s="11" t="s">
        <v>798</v>
      </c>
      <c r="AD4" s="11" t="s">
        <v>797</v>
      </c>
      <c r="AE4" s="11" t="str">
        <f>INDEX(Workload!$A$2:$A$14,MATCH(SMALL(Workload!$AN$2:$AN$14,1),Workload!$AN$2:$AN$14,0))</f>
        <v>4 x 4x4 (24 ch)</v>
      </c>
      <c r="AF4" s="13">
        <f>SMALL(Workload!$AN$2:$AN$14,1)</f>
        <v>251.62</v>
      </c>
      <c r="AG4" s="11" t="str">
        <f>INDEX(Workload!$A$2:$A$14,MATCH(SMALL(Workload!$AN$2:$AN$14,2),Workload!$AN$2:$AN$14,0))</f>
        <v>2 x 8x4 (20 ch)</v>
      </c>
      <c r="AH4" s="13">
        <f>SMALL(Workload!$AN$2:$AN$14,2)</f>
        <v>255.32</v>
      </c>
      <c r="AI4" s="11" t="str">
        <f>INDEX(Workload!$A$2:$A$14,MATCH(SMALL(Workload!$AN$2:$AN$14,3),Workload!$AN$2:$AN$14,0))</f>
        <v>2 x 16x3 (26 ch)</v>
      </c>
      <c r="AJ4" s="13">
        <f>SMALL(Workload!$AN$2:$AN$14,3)</f>
        <v>260.33999999999997</v>
      </c>
    </row>
    <row r="5" spans="29:36" x14ac:dyDescent="0.35">
      <c r="AC5" s="11" t="s">
        <v>799</v>
      </c>
      <c r="AD5" s="11" t="s">
        <v>800</v>
      </c>
      <c r="AE5" s="11" t="str">
        <f>INDEX(Workload!$A$2:$A$14,MATCH(LARGE(Workload!$AI$2:$AI$14,1),Workload!$AI$2:$AI$14,0))</f>
        <v>2 x 16x3 (26 ch)</v>
      </c>
      <c r="AF5" s="13">
        <f>LARGE(Workload!$AI$2:$AI$14,1)</f>
        <v>28.888000000000002</v>
      </c>
      <c r="AG5" s="11" t="str">
        <f>INDEX(Workload!$A$2:$A$14,MATCH(LARGE(Workload!$AI$2:$AI$14,2),Workload!$AI$2:$AI$14,0))</f>
        <v>4 x 4x4 (24 ch)</v>
      </c>
      <c r="AH5" s="13">
        <f>LARGE(Workload!$AI$2:$AI$14,2)</f>
        <v>28.689</v>
      </c>
      <c r="AI5" s="11" t="str">
        <f>INDEX(Workload!$A$2:$A$14,MATCH(LARGE(Workload!$AI$2:$AI$14,3),Workload!$AI$2:$AI$14,0))</f>
        <v>5 x 4x4 (30 ch)</v>
      </c>
      <c r="AJ5" s="13">
        <f>LARGE(Workload!$AI$2:$AI$14,3)</f>
        <v>28.434999999999999</v>
      </c>
    </row>
    <row r="6" spans="29:36" x14ac:dyDescent="0.35">
      <c r="AC6" s="11" t="s">
        <v>801</v>
      </c>
      <c r="AD6" s="11" t="s">
        <v>797</v>
      </c>
      <c r="AE6" s="11" t="str">
        <f>INDEX(Workload!$A$2:$A$14,MATCH(SMALL(Workload!$AQ$2:$AQ$14,1),Workload!$AQ$2:$AQ$14,0))</f>
        <v>4 x 4x4 (24 ch)</v>
      </c>
      <c r="AF6" s="14">
        <f>SMALL(Workload!$AQ$2:$AQ$14,1)</f>
        <v>1.2867</v>
      </c>
      <c r="AG6" s="11" t="str">
        <f>INDEX(Workload!$A$2:$A$14,MATCH(SMALL(Workload!$AQ$2:$AQ$14,2),Workload!$AQ$2:$AQ$14,0))</f>
        <v>2 x 8x4 (20 ch)</v>
      </c>
      <c r="AH6" s="14">
        <f>SMALL(Workload!$AQ$2:$AQ$14,2)</f>
        <v>1.3056000000000001</v>
      </c>
      <c r="AI6" s="11" t="str">
        <f>INDEX(Workload!$A$2:$A$14,MATCH(SMALL(Workload!$AQ$2:$AQ$14,3),Workload!$AQ$2:$AQ$14,0))</f>
        <v>2 x 16x3 (26 ch)</v>
      </c>
      <c r="AJ6" s="14">
        <f>SMALL(Workload!$AQ$2:$AQ$14,3)</f>
        <v>1.3311999999999999</v>
      </c>
    </row>
    <row r="8" spans="29:36" x14ac:dyDescent="0.35">
      <c r="AC8" s="6" t="s">
        <v>802</v>
      </c>
    </row>
    <row r="9" spans="29:36" x14ac:dyDescent="0.35">
      <c r="AC9" s="6" t="s">
        <v>803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HBM Channels</vt:lpstr>
      <vt:lpstr>Workload</vt:lpstr>
      <vt:lpstr>Configurations</vt:lpstr>
      <vt:lpstr>MT Interference</vt:lpstr>
      <vt:lpstr>MT Throughput</vt:lpstr>
      <vt:lpstr>MT Energy</vt:lpstr>
      <vt:lpstr>Scale-out vs Scale-up</vt:lpstr>
      <vt:lpstr>Idle vs Channels</vt:lpstr>
      <vt:lpstr>Family Mixed Latency</vt:lpstr>
      <vt:lpstr>Family Mixed Energy</vt:lpstr>
      <vt:lpstr>Family Utilization</vt:lpstr>
      <vt:lpstr>Family Measured</vt:lpstr>
      <vt:lpstr>Family Hardware</vt:lpstr>
      <vt:lpstr>Family Scaling</vt:lpstr>
      <vt:lpstr>Family AllPoints</vt:lpstr>
      <vt:lpstr>Diagonal CxB64</vt:lpstr>
      <vt:lpstr>Serpens</vt:lpstr>
      <vt:lpstr>Energy 325</vt:lpstr>
      <vt:lpstr>Shapes 325</vt:lpstr>
      <vt:lpstr>Clock 300 vs 325</vt:lpstr>
      <vt:lpstr>Energy</vt:lpstr>
      <vt:lpstr>avg3 comparison</vt:lpstr>
      <vt:lpstr>Shapes</vt:lpstr>
      <vt:lpstr>Master</vt:lpstr>
      <vt:lpstr>Mixed sparsity</vt:lpstr>
      <vt:lpstr>Floorplan SLR</vt:lpstr>
      <vt:lpstr>Chart Data</vt:lpstr>
      <vt:lpstr>Charts</vt:lpstr>
      <vt:lpstr>Measured Charts</vt:lpstr>
      <vt:lpstr>Family Workload Charts</vt:lpstr>
      <vt:lpstr>Multi-Tenant Charts</vt:lpstr>
      <vt:lpstr>Configuration Charts</vt:lpstr>
      <vt:lpstr>Workload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Σωζος Κουλας</cp:lastModifiedBy>
  <dcterms:created xsi:type="dcterms:W3CDTF">2026-09-02T22:07:12Z</dcterms:created>
  <dcterms:modified xsi:type="dcterms:W3CDTF">2026-09-30T23:25:43Z</dcterms:modified>
</cp:coreProperties>
</file>