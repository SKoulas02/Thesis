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oulas\ECE\Thesis\Code\results\"/>
    </mc:Choice>
  </mc:AlternateContent>
  <xr:revisionPtr revIDLastSave="0" documentId="13_ncr:1_{41691BCC-AE5A-46EA-AEFF-B6101CF9B5A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Qwen Charts" sheetId="1" r:id="rId1"/>
    <sheet name="UC1 Charts" sheetId="2" r:id="rId2"/>
    <sheet name="Qwen XRT" sheetId="3" r:id="rId3"/>
    <sheet name="Qwen Twins" sheetId="4" r:id="rId4"/>
    <sheet name="Qwen Scaling" sheetId="5" r:id="rId5"/>
    <sheet name="Qwen Accuracy" sheetId="6" r:id="rId6"/>
    <sheet name="UC1 XRT" sheetId="7" r:id="rId7"/>
    <sheet name="Notes" sheetId="8" r:id="rId8"/>
  </sheets>
  <definedNames>
    <definedName name="_xlnm._FilterDatabase" localSheetId="5" hidden="1">'Qwen Accuracy'!$A$1:$L$5</definedName>
    <definedName name="_xlnm._FilterDatabase" localSheetId="2" hidden="1">'Qwen XRT'!$A$1:$CV$23</definedName>
    <definedName name="_xlnm._FilterDatabase" localSheetId="6" hidden="1">'UC1 XRT'!$A$1:$BI$14</definedName>
  </definedNames>
  <calcPr calcId="0"/>
</workbook>
</file>

<file path=xl/sharedStrings.xml><?xml version="1.0" encoding="utf-8"?>
<sst xmlns="http://schemas.openxmlformats.org/spreadsheetml/2006/main" count="651" uniqueCount="314">
  <si>
    <t>UC2 -- Qwen3.5-35B-A3B step 1 on the U280, native XRT host (ert=false), quiet server, 2026-10-01</t>
  </si>
  <si>
    <t>UC1 -- multi-user, every matrix its own calculation and vector, native XRT host (ert=false), 2026-10-01</t>
  </si>
  <si>
    <t>config_label</t>
  </si>
  <si>
    <t>status</t>
  </si>
  <si>
    <t>engine_ms_single</t>
  </si>
  <si>
    <t>overhead_ms_single</t>
  </si>
  <si>
    <t>engine_ms_multi</t>
  </si>
  <si>
    <t>overhead_ms_multi</t>
  </si>
  <si>
    <t>engine_ms_shared</t>
  </si>
  <si>
    <t>overhead_ms_shared</t>
  </si>
  <si>
    <t>engine_ms_bcast</t>
  </si>
  <si>
    <t>overhead_ms_bcast</t>
  </si>
  <si>
    <t>static_mJ_single</t>
  </si>
  <si>
    <t>dynamic_mJ_single</t>
  </si>
  <si>
    <t>static_mJ_multi</t>
  </si>
  <si>
    <t>dynamic_mJ_multi</t>
  </si>
  <si>
    <t>static_mJ_shared</t>
  </si>
  <si>
    <t>dynamic_mJ_shared</t>
  </si>
  <si>
    <t>static_mJ_bcast</t>
  </si>
  <si>
    <t>dynamic_mJ_bcast</t>
  </si>
  <si>
    <t>token_ms_single</t>
  </si>
  <si>
    <t>token_ms_multi</t>
  </si>
  <si>
    <t>token_ms_shared</t>
  </si>
  <si>
    <t>token_ms_bcast</t>
  </si>
  <si>
    <t>tokens_s_single</t>
  </si>
  <si>
    <t>tokens_s_multi</t>
  </si>
  <si>
    <t>tokens_s_shared</t>
  </si>
  <si>
    <t>tokens_s_bcast</t>
  </si>
  <si>
    <t>gmac_s_single</t>
  </si>
  <si>
    <t>gmac_s_multi</t>
  </si>
  <si>
    <t>gmac_s_shared</t>
  </si>
  <si>
    <t>gmac_s_bcast</t>
  </si>
  <si>
    <t>energy_token_mJ_single</t>
  </si>
  <si>
    <t>energy_token_mJ_multi</t>
  </si>
  <si>
    <t>energy_token_mJ_shared</t>
  </si>
  <si>
    <t>energy_token_mJ_bcast</t>
  </si>
  <si>
    <t>nj_per_mac_single</t>
  </si>
  <si>
    <t>nj_per_mac_multi</t>
  </si>
  <si>
    <t>nj_per_mac_shared</t>
  </si>
  <si>
    <t>nj_per_mac_bcast</t>
  </si>
  <si>
    <t>idle_W_single</t>
  </si>
  <si>
    <t>idle_W_multi</t>
  </si>
  <si>
    <t>idle_W_shared</t>
  </si>
  <si>
    <t>idle_W_bcast</t>
  </si>
  <si>
    <t>acc_median_pct_single</t>
  </si>
  <si>
    <t>acc_median_pct_multi</t>
  </si>
  <si>
    <t>acc_median_pct_shared</t>
  </si>
  <si>
    <t>acc_median_pct_bcast</t>
  </si>
  <si>
    <t>kind</t>
  </si>
  <si>
    <t>engine_shape</t>
  </si>
  <si>
    <t>engines</t>
  </si>
  <si>
    <t>hbm_channels</t>
  </si>
  <si>
    <t>clock_mhz</t>
  </si>
  <si>
    <t>lanes_total</t>
  </si>
  <si>
    <t>layers</t>
  </si>
  <si>
    <t>layer_rows</t>
  </si>
  <si>
    <t>width</t>
  </si>
  <si>
    <t>layer_rows_per_engine</t>
  </si>
  <si>
    <t>useful_macs_per_token</t>
  </si>
  <si>
    <t>padding_pct</t>
  </si>
  <si>
    <t>efficiency_pct</t>
  </si>
  <si>
    <t>efficiency_from</t>
  </si>
  <si>
    <t>predicted_us</t>
  </si>
  <si>
    <t>engine_us</t>
  </si>
  <si>
    <t>layer_active_sum_us</t>
  </si>
  <si>
    <t>token_us</t>
  </si>
  <si>
    <t>layer_us</t>
  </si>
  <si>
    <t>overhead_us</t>
  </si>
  <si>
    <t>overhead_pct</t>
  </si>
  <si>
    <t>gmac_s</t>
  </si>
  <si>
    <t>gflops</t>
  </si>
  <si>
    <t>tokens_per_s</t>
  </si>
  <si>
    <t>board_load_W</t>
  </si>
  <si>
    <t>board_idle_W</t>
  </si>
  <si>
    <t>dynamic_W</t>
  </si>
  <si>
    <t>energy_token_mJ</t>
  </si>
  <si>
    <t>static_mJ</t>
  </si>
  <si>
    <t>dynamic_mJ</t>
  </si>
  <si>
    <t>nj_per_mac</t>
  </si>
  <si>
    <t>finish_balance</t>
  </si>
  <si>
    <t>balance_planned</t>
  </si>
  <si>
    <t>timed_passes</t>
  </si>
  <si>
    <t>soak_passes</t>
  </si>
  <si>
    <t>soak_s</t>
  </si>
  <si>
    <t>acc_rows</t>
  </si>
  <si>
    <t>acc_median_pct</t>
  </si>
  <si>
    <t>acc_p95_pct</t>
  </si>
  <si>
    <t>acc_max_pct</t>
  </si>
  <si>
    <t>acc_mean_offset_pct</t>
  </si>
  <si>
    <t>acc_model_match_pct</t>
  </si>
  <si>
    <t>acc_same_data_as</t>
  </si>
  <si>
    <t>timed_pass_us</t>
  </si>
  <si>
    <t>timed_first_pass_us</t>
  </si>
  <si>
    <t>timed_spread_pct</t>
  </si>
  <si>
    <t>host</t>
  </si>
  <si>
    <t>window</t>
  </si>
  <si>
    <t>host_load_1min</t>
  </si>
  <si>
    <t>server_load_mean</t>
  </si>
  <si>
    <t>server_load_max</t>
  </si>
  <si>
    <t>server_busy_max</t>
  </si>
  <si>
    <t>source</t>
  </si>
  <si>
    <t>estimator</t>
  </si>
  <si>
    <t>4x4 (6 ch)</t>
  </si>
  <si>
    <t>measured</t>
  </si>
  <si>
    <t>single engine</t>
  </si>
  <si>
    <t>4x4</t>
  </si>
  <si>
    <t>9216</t>
  </si>
  <si>
    <t>native XRT (host_workload_xrt.cpp), ert=false: host-side scheduling</t>
  </si>
  <si>
    <t>8x4 (10 ch)</t>
  </si>
  <si>
    <t>8x4</t>
  </si>
  <si>
    <t>2 x 4x4 (12 ch)</t>
  </si>
  <si>
    <t>multi-tenant, own vector channels</t>
  </si>
  <si>
    <t>4608/4608</t>
  </si>
  <si>
    <t>2x4x4</t>
  </si>
  <si>
    <t>16x3 (13 ch)</t>
  </si>
  <si>
    <t>16x3</t>
  </si>
  <si>
    <t>3 x 4x4 shared (14 ch)</t>
  </si>
  <si>
    <t>multi-tenant, shared vector channels</t>
  </si>
  <si>
    <t>3072/3072/3072</t>
  </si>
  <si>
    <t>3 x 4x4 (18 ch)</t>
  </si>
  <si>
    <t>3x4x4</t>
  </si>
  <si>
    <t>3 x 4x4 bcast (14 ch)</t>
  </si>
  <si>
    <t>multi-tenant, broadcast vector (one mover pair)</t>
  </si>
  <si>
    <t>8x8 (17 ch)</t>
  </si>
  <si>
    <t>8x8</t>
  </si>
  <si>
    <t>2 x 8x4 (20 ch)</t>
  </si>
  <si>
    <t>2x8x4</t>
  </si>
  <si>
    <t>4x24 (24 ch)</t>
  </si>
  <si>
    <t>4x24</t>
  </si>
  <si>
    <t>4 x 4x4 (24 ch)</t>
  </si>
  <si>
    <t>2304/2304/2304/2304</t>
  </si>
  <si>
    <t>4x4x4</t>
  </si>
  <si>
    <t>2 x 16x3 shared (24 ch)</t>
  </si>
  <si>
    <t>2 x 16x3 (26 ch)</t>
  </si>
  <si>
    <t>2x16x3</t>
  </si>
  <si>
    <t>2 x 16x3 bcast (24 ch)</t>
  </si>
  <si>
    <t>3 x 8x4 shared (26 ch)</t>
  </si>
  <si>
    <t>3 x 8x4 (30 ch)</t>
  </si>
  <si>
    <t>3x8x4</t>
  </si>
  <si>
    <t>6 x 4x4 bcast (26 ch)</t>
  </si>
  <si>
    <t>1536/1536/1536/1536/1536/1536</t>
  </si>
  <si>
    <t>6x4x4_bcast</t>
  </si>
  <si>
    <t>3 x 8x4 bcast (26 ch)</t>
  </si>
  <si>
    <t>5 x 4x4 (30 ch)</t>
  </si>
  <si>
    <t>1824/1824/1840/1856/1872</t>
  </si>
  <si>
    <t>5x4x4</t>
  </si>
  <si>
    <t>7 x 4x4 bcast (30 ch)</t>
  </si>
  <si>
    <t>1312/1312/1312/1312/1312/1328/1328</t>
  </si>
  <si>
    <t>7x4x4_bcast</t>
  </si>
  <si>
    <t>4x32 (32 ch)</t>
  </si>
  <si>
    <t>4x32</t>
  </si>
  <si>
    <t>2 x 8x8 bcast (32 ch)</t>
  </si>
  <si>
    <t>Time per token (ms)</t>
  </si>
  <si>
    <t>twin set</t>
  </si>
  <si>
    <t>own vector</t>
  </si>
  <si>
    <t>shared vector</t>
  </si>
  <si>
    <t>broadcast vector</t>
  </si>
  <si>
    <t>3 x 4x4</t>
  </si>
  <si>
    <t>3 x 8x4</t>
  </si>
  <si>
    <t>2 x 16x3</t>
  </si>
  <si>
    <t>Tokens per second</t>
  </si>
  <si>
    <t>Energy per token (mJ)</t>
  </si>
  <si>
    <t>Board idle power (W)</t>
  </si>
  <si>
    <t>HBM channels</t>
  </si>
  <si>
    <t>Clock (MHz)</t>
  </si>
  <si>
    <t>4x4 engines on the Qwen test, by vector feed (a blank = no such build)</t>
  </si>
  <si>
    <t>4x4 engines</t>
  </si>
  <si>
    <t>own vector: tokens/s</t>
  </si>
  <si>
    <t>shared vector: tokens/s</t>
  </si>
  <si>
    <t>broadcast vector: tokens/s</t>
  </si>
  <si>
    <t>own vector: mJ/token</t>
  </si>
  <si>
    <t>shared vector: mJ/token</t>
  </si>
  <si>
    <t>broadcast vector: mJ/token</t>
  </si>
  <si>
    <t>own vector: clock MHz</t>
  </si>
  <si>
    <t>shared vector: clock MHz</t>
  </si>
  <si>
    <t>broadcast vector: clock MHz</t>
  </si>
  <si>
    <t>sparsity</t>
  </si>
  <si>
    <t>terms_per_row</t>
  </si>
  <si>
    <t>rows</t>
  </si>
  <si>
    <t>data_sets</t>
  </si>
  <si>
    <t>builds</t>
  </si>
  <si>
    <t>median_pct</t>
  </si>
  <si>
    <t>p95_pct</t>
  </si>
  <si>
    <t>max_pct</t>
  </si>
  <si>
    <t>mean_abs_pct</t>
  </si>
  <si>
    <t>mean_offset_pct</t>
  </si>
  <si>
    <t>model_match_pct</t>
  </si>
  <si>
    <t>basis</t>
  </si>
  <si>
    <t>2:4</t>
  </si>
  <si>
    <t>|card - exact| / rms(exact) of each build's realistic layer (weights N(0,1) magnitude-pruned, vector N(0,1)); every distinct data set pooled once (twins share theirs)</t>
  </si>
  <si>
    <t>2:8</t>
  </si>
  <si>
    <t>2:16</t>
  </si>
  <si>
    <t>2:32</t>
  </si>
  <si>
    <t>wall_gmac_s_single</t>
  </si>
  <si>
    <t>wall_gmac_s_multi</t>
  </si>
  <si>
    <t>engine_gmac_s_single</t>
  </si>
  <si>
    <t>engine_gmac_s_multi</t>
  </si>
  <si>
    <t>configuration</t>
  </si>
  <si>
    <t>tenants</t>
  </si>
  <si>
    <t>matrices</t>
  </si>
  <si>
    <t>useful_macs</t>
  </si>
  <si>
    <t>padded_macs</t>
  </si>
  <si>
    <t>calcs_per_tenant</t>
  </si>
  <si>
    <t>active_sum_us</t>
  </si>
  <si>
    <t>wall_pass_us</t>
  </si>
  <si>
    <t>wall_gmac_s</t>
  </si>
  <si>
    <t>engine_gmac_s</t>
  </si>
  <si>
    <t>energy_pass_mJ</t>
  </si>
  <si>
    <t>nj_per_mac_wall</t>
  </si>
  <si>
    <t>fullrate_load_W</t>
  </si>
  <si>
    <t>nj_per_mac_launch_free</t>
  </si>
  <si>
    <t>one 4x4 engine</t>
  </si>
  <si>
    <t>132</t>
  </si>
  <si>
    <t>one 8x4 engine</t>
  </si>
  <si>
    <t>multi-tenant</t>
  </si>
  <si>
    <t>2 x 4x4 tenants</t>
  </si>
  <si>
    <t>67/65</t>
  </si>
  <si>
    <t>one 16x3 engine</t>
  </si>
  <si>
    <t>one 8x8 engine</t>
  </si>
  <si>
    <t>3 x 4x4 tenants</t>
  </si>
  <si>
    <t>44/44/44</t>
  </si>
  <si>
    <t>2 x 8x4 tenants</t>
  </si>
  <si>
    <t>66/66</t>
  </si>
  <si>
    <t>one 4x24 engine</t>
  </si>
  <si>
    <t>4 x 4x4 tenants</t>
  </si>
  <si>
    <t>33/33/33/33</t>
  </si>
  <si>
    <t>2 x 16x3 tenants</t>
  </si>
  <si>
    <t>5 x 4x4 tenants</t>
  </si>
  <si>
    <t>26/27/27/26/26</t>
  </si>
  <si>
    <t>3 x 8x4 tenants</t>
  </si>
  <si>
    <t>one 4x32 engine</t>
  </si>
  <si>
    <t>Host: native XRT C++ (host_workload_xrt.cpp), ert=false = host-side scheduling (the driver starts the CUs, not the card's ERT); XRT 2.13.0 (2022.1); Alveo U280</t>
  </si>
  <si>
    <t>Measured: wall time = a 60 s soak of whole passes / tokens; board power from the card's sensors; static energy = idle power x time, dynamic = (load - idle) x time</t>
  </si>
  <si>
    <t>UC2 Qwen3.5-35B-A3B step 1: per token 40 layers, each a 9216 x 2048 MIXED stacked GEMV (9 experts x gate+up, 2304 rows at each of 2:4 / 2:8 / 2:16 / 2:32), split over the engines in lockstep, a new vector every layer; weights N(0,1) magnitude-pruned, vector N(0,1)</t>
  </si>
  <si>
    <t>UC1 multi-user: 132 matrices, every matrix its own calculation and input vector -- the same columns and rows as the OpenCL sheet 'Workload per matrix' (2026-09-28)</t>
  </si>
  <si>
    <t>Accuracy: the gates' realistic layer, |card - exact| / rms(exact); the card matches 'each summand toward zero to 2^-7, fixed-point sum, bf16 truncation' on 100 % of rows. Twins (own / shared / broadcast) were gated on the same data and returned the same bits</t>
  </si>
  <si>
    <t>Chart colours: single engine #2a78d6, multi-tenant own vector #eb6834, shared vector #1baf7a, broadcast vector #eda100; stacked: the kind colour (engine / static) under its light tint (overhead / dynamic)</t>
  </si>
  <si>
    <t>Caveat: the OpenCL UC1 run (2026-09-28) differs in host API, scheduler (ERT) and server load at once -- not an equal-conditions comparison</t>
  </si>
  <si>
    <t>Sources: results/GEMV_Qwen_XRT.csv, GEMV_Qwen_Accuracy.csv, GEMV_UC1_XRT.csv (scripts/analysis/make_window_csv.py); this file: scripts/analysis/make_xrt_charts_xlsx.py</t>
  </si>
  <si>
    <t>runs</t>
  </si>
  <si>
    <t>runs_token_ms_min</t>
  </si>
  <si>
    <t>runs_token_ms_max</t>
  </si>
  <si>
    <t>runs_token_ms_halfrange</t>
  </si>
  <si>
    <t>runs_tokens_s_min</t>
  </si>
  <si>
    <t>runs_tokens_s_max</t>
  </si>
  <si>
    <t>runs_tokens_s_halfrange</t>
  </si>
  <si>
    <t>runs_energy_token_mJ_min</t>
  </si>
  <si>
    <t>runs_energy_token_mJ_max</t>
  </si>
  <si>
    <t>runs_energy_token_mJ_halfrange</t>
  </si>
  <si>
    <t>runs_nj_per_mac_min</t>
  </si>
  <si>
    <t>runs_nj_per_mac_max</t>
  </si>
  <si>
    <t>runs_nj_per_mac_halfrange</t>
  </si>
  <si>
    <t>runs_dynamic_W_min</t>
  </si>
  <si>
    <t>runs_dynamic_W_max</t>
  </si>
  <si>
    <t>runs_idle_W_min</t>
  </si>
  <si>
    <t>runs_idle_W_max</t>
  </si>
  <si>
    <t>window_20261001_1438 + window_20261002_1644</t>
  </si>
  <si>
    <t>window_20261001_1438/qwen/workload_xrt_qwen_4x4_400MHz.csv + window_20261002_1644/qwen/workload_xrt_qwen_4x4_400MHz.csv</t>
  </si>
  <si>
    <t>per token = 40 layers, each one 9216 x 2048 MIXED stacked GEMV (9 experts x gate+up, 2304 rows per sparsity 2:4/2:8/2:16/2:32), split B over the engines in lockstep, a new vector every layer; token time, energy, idle: measured (60 s soak of whole tokens, board power), the mean of 2 run(s) (runs_* = min / max / half-range over them); engine time: sum over layers of the busiest engine's plan cycles / clock / steady-state efficiency (efficiency_from); overhead = token - engine; accuracy: the gate's realistic layer, |card - exact| / rms; host: native XRT (host_workload_xrt.cpp), ert=false: host-side scheduling</t>
  </si>
  <si>
    <t>window_20261001_1438/qwen/workload_xrt_qwen_8x4_375MHz.csv + window_20261002_1644/qwen/workload_xrt_qwen_8x4_375MHz.csv</t>
  </si>
  <si>
    <t>window_20261001_1438/qwen/workload_xrt_qwen_2x4x4_394MHz.csv + window_20261002_1644/qwen/workload_xrt_qwen_2x4x4_394MHz.csv</t>
  </si>
  <si>
    <t>window_20261001_1438/qwen/workload_xrt_qwen_16x3_350MHz.csv + window_20261002_1644/qwen/workload_xrt_qwen_16x3_350MHz.csv</t>
  </si>
  <si>
    <t>own shape sweep (min of 11 MIXED shapes, window_shapes_20261002_1611)</t>
  </si>
  <si>
    <t>window_20261001_1438/qwen/workload_xrt_qwen_3x4x4_shared_392MHz.csv + window_20261002_1644/qwen/workload_xrt_qwen_3x4x4_shared_392MHz.csv</t>
  </si>
  <si>
    <t>window_20261001_1438/qwen/workload_xrt_qwen_3x4x4_bcast_393MHz.csv + window_20261002_1644/qwen/workload_xrt_qwen_3x4x4_bcast_393MHz.csv</t>
  </si>
  <si>
    <t>window_20261001_1438/qwen/workload_xrt_qwen_8x8_325MHz.csv + window_20261002_1644/qwen/workload_xrt_qwen_8x8_325MHz.csv</t>
  </si>
  <si>
    <t>window_20261001_1438/qwen/workload_xrt_qwen_3x4x4_399MHz.csv + window_20261002_1644/qwen/workload_xrt_qwen_3x4x4_399MHz.csv</t>
  </si>
  <si>
    <t>window_20261001_1438/qwen/workload_xrt_qwen_2x8x4_361MHz.csv + window_20261002_1644/qwen/workload_xrt_qwen_2x8x4_361MHz.csv</t>
  </si>
  <si>
    <t>window_20261001_1438/qwen/workload_xrt_qwen_4x24_300MHz.csv + window_20261002_1644/qwen/workload_xrt_qwen_4x24_300MHz.csv</t>
  </si>
  <si>
    <t>window_20261001_1438/qwen/workload_xrt_qwen_4x4x4_374MHz.csv + window_20261002_1644/qwen/workload_xrt_qwen_4x4x4_374MHz.csv</t>
  </si>
  <si>
    <t>window_20261001_1438/qwen/workload_xrt_qwen_2x16x3_shared_332MHz.csv + window_20261002_1644/qwen/workload_xrt_qwen_2x16x3_shared_332MHz.csv</t>
  </si>
  <si>
    <t>window_20261001_1438/qwen/workload_xrt_qwen_2x16x3_bcast_339MHz.csv + window_20261002_1644/qwen/workload_xrt_qwen_2x16x3_bcast_339MHz.csv</t>
  </si>
  <si>
    <t>window_20261001_1438/qwen/workload_xrt_qwen_2x16x3_341MHz.csv + window_20261002_1644/qwen/workload_xrt_qwen_2x16x3_341MHz.csv</t>
  </si>
  <si>
    <t>window_20261001_1438/qwen/workload_xrt_qwen_3x8x4_shared_321MHz.csv + window_20261002_1644/qwen/workload_xrt_qwen_3x8x4_shared_321MHz.csv</t>
  </si>
  <si>
    <t>window_20261001_1438/qwen/workload_xrt_qwen_6x4x4_bcast_343MHz.csv + window_20261002_1644/qwen/workload_xrt_qwen_6x4x4_bcast_343MHz.csv</t>
  </si>
  <si>
    <t>window_20261001_1438/qwen/workload_xrt_qwen_3x8x4_bcast_337MHz.csv + window_20261002_1644/qwen/workload_xrt_qwen_3x8x4_bcast_337MHz.csv</t>
  </si>
  <si>
    <t>window_20261001_1438/qwen/workload_xrt_qwen_5x4x4_329MHz.csv + window_20261002_1644/qwen/workload_xrt_qwen_5x4x4_329MHz.csv</t>
  </si>
  <si>
    <t>window_20261001_1438/qwen/workload_xrt_qwen_3x8x4_354MHz.csv + window_20261002_1644/qwen/workload_xrt_qwen_3x8x4_354MHz.csv</t>
  </si>
  <si>
    <t>window_20261001_1438/qwen/workload_xrt_qwen_7x4x4_bcast_311MHz.csv + window_20261002_1644/qwen/workload_xrt_qwen_7x4x4_bcast_311MHz.csv</t>
  </si>
  <si>
    <t>window_20261001_1438/qwen/workload_xrt_qwen_4x32_250MHz.csv + window_20261002_1644/qwen/workload_xrt_qwen_4x32_250MHz.csv</t>
  </si>
  <si>
    <t>2x8x8_bcast</t>
  </si>
  <si>
    <t>window_20261002_1609 + window_20261002_1644</t>
  </si>
  <si>
    <t>window_20261002_1609/qwen/workload_xrt_qwen_2x8x8_bcast_305MHz.csv + window_20261002_1644/qwen/workload_xrt_qwen_2x8x8_bcast_305MHz.csv</t>
  </si>
  <si>
    <t>runs_pass_ms_min</t>
  </si>
  <si>
    <t>runs_pass_ms_max</t>
  </si>
  <si>
    <t>runs_pass_ms_halfrange</t>
  </si>
  <si>
    <t>runs_gmac_s_min</t>
  </si>
  <si>
    <t>runs_gmac_s_max</t>
  </si>
  <si>
    <t>runs_gmac_s_halfrange</t>
  </si>
  <si>
    <t>runs_energy_pass_mJ_min</t>
  </si>
  <si>
    <t>runs_energy_pass_mJ_max</t>
  </si>
  <si>
    <t>runs_energy_pass_mJ_halfrange</t>
  </si>
  <si>
    <t>window_20261001_1438/uc1/workload_xrt_permatrix_4x4_400MHz.csv + window_20261002_1644/uc1/workload_xrt_permatrix_4x4_400MHz.csv</t>
  </si>
  <si>
    <t>wall time, energy: measured (60 s soak of whole passes, board power); engine time: plan cycles / clock / measured steady-state efficiency (Configurations pct_of_peak); overhead = wall - engine; every matrix its own calculation and input vector; host: native XRT (host_workload_xrt.cpp), ert=false: host-side scheduling; the mean of 2 run(s) (runs_* = min / max / half-range over them)</t>
  </si>
  <si>
    <t>window_20261001_1438/uc1/workload_xrt_permatrix_8x4_375MHz.csv + window_20261002_1644/uc1/workload_xrt_permatrix_8x4_375MHz.csv</t>
  </si>
  <si>
    <t>window_20261001_1438/uc1/workload_xrt_permatrix_2x4x4_394MHz.csv + window_20261002_1644/uc1/workload_xrt_permatrix_2x4x4_394MHz.csv</t>
  </si>
  <si>
    <t>window_20261001_1438/uc1/workload_xrt_permatrix_16x3_350MHz.csv + window_20261002_1644/uc1/workload_xrt_permatrix_16x3_350MHz.csv</t>
  </si>
  <si>
    <t>window_20261001_1438/uc1/workload_xrt_permatrix_8x8_325MHz.csv + window_20261002_1644/uc1/workload_xrt_permatrix_8x8_325MHz.csv</t>
  </si>
  <si>
    <t>window_20261001_1438/uc1/workload_xrt_permatrix_3x4x4_399MHz.csv + window_20261002_1644/uc1/workload_xrt_permatrix_3x4x4_399MHz.csv</t>
  </si>
  <si>
    <t>window_20261001_1438/uc1/workload_xrt_permatrix_2x8x4_361MHz.csv + window_20261002_1644/uc1/workload_xrt_permatrix_2x8x4_361MHz.csv</t>
  </si>
  <si>
    <t>window_20261001_1438/uc1/workload_xrt_permatrix_4x24_300MHz.csv + window_20261002_1644/uc1/workload_xrt_permatrix_4x24_300MHz.csv</t>
  </si>
  <si>
    <t>window_20261001_1438/uc1/workload_xrt_permatrix_4x4x4_374MHz.csv + window_20261002_1644/uc1/workload_xrt_permatrix_4x4x4_374MHz.csv</t>
  </si>
  <si>
    <t>window_20261001_1438/uc1/workload_xrt_permatrix_2x16x3_341MHz.csv + window_20261002_1644/uc1/workload_xrt_permatrix_2x16x3_341MHz.csv</t>
  </si>
  <si>
    <t>window_20261001_1438/uc1/workload_xrt_permatrix_5x4x4_329MHz.csv + window_20261002_1644/uc1/workload_xrt_permatrix_5x4x4_329MHz.csv</t>
  </si>
  <si>
    <t>window_20261001_1438/uc1/workload_xrt_permatrix_3x8x4_354MHz.csv + window_20261002_1644/uc1/workload_xrt_permatrix_3x8x4_354MHz.csv</t>
  </si>
  <si>
    <t>window_20261001_1438/uc1/workload_xrt_permatrix_4x32_250MHz.csv + window_20261002_1644/uc1/workload_xrt_permatrix_4x32_250MHz.csv</t>
  </si>
  <si>
    <t>GEMV_Charts_XRT.xlsx -- the measurement windows of 2026-10-01 and 2026-10-02</t>
  </si>
  <si>
    <t>Runs: every build measured 2 times on a quiet server (window folders results/window_20261001_1438, results/window_20261002_1609, results/window_20261002_1644/); the charts show the MEAN of the runs, and the runs_* columns at the right of 'Qwen XRT' and 'UC1 XRT' hold each quantity's min / max / half-range over them, for error bars</t>
  </si>
  <si>
    <t>Conditions: 1 Oct -- the server alone after a reboot; 2 Oct -- the professor's isolated window; both: no Vivado / v++ / HLS of anyone (30 s load logs results/window_load_*.txt), 1-minute load ~3.4 during the runs = their own processes</t>
  </si>
  <si>
    <t>Derived: engine time = the plan's cycles / clock / measured steady-state efficiency -- the build's GEMV_Configurations.csv value (13 builds), or for a shared or broadcast build its OWN MIXED shape-sweep occupancy (min of the 11 shapes); overhead = wall - engine (launches, completion, lockstep)</t>
  </si>
  <si>
    <t>Finding: 3 x 4x4 shared 57.5 % (225 M beats/s at 392 MHz); 3 x 8x4 shared 70.2 % (225 M beats/s at 321 MHz) -- a hard cap on the weight stream (half of the 450 MHz HBM port clock), the same on every shape and whatever the kernel clock; every other build streams at ~99 % of its clock</t>
  </si>
  <si>
    <t>Reproducibility between the runs: time per token / pass within 1.5 % (half-range); the Qwen test's dynamic power moved by up to 4.6 W (3 x 4x4 bcast (14 ch)), its energy per token by up to 5.6 % half-range (3 x 4x4 bcast (14 ch)) -- random data, a new seed every run</t>
  </si>
  <si>
    <t>Pending: none -- every build measured</t>
  </si>
  <si>
    <t>Updating: NEVER rebuild this file (the builder refuses -- a rebuild deletes the charts); build a values workbook (make_xrt_charts_xlsx.py --out ...) and paste each data sheet's block over this one with Paste Special &gt;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</si>
</sst>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Qwen3.5-35B-A3B step 1 - time per token (40 layers): engine vs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Engine - 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XRT'!$C$2:$C$23</c:f>
              <c:numCache>
                <c:formatCode>General</c:formatCode>
                <c:ptCount val="22"/>
                <c:pt idx="0">
                  <c:v>14.086</c:v>
                </c:pt>
                <c:pt idx="1">
                  <c:v>7.4930000000000003</c:v>
                </c:pt>
                <c:pt idx="3">
                  <c:v>5.3680000000000003</c:v>
                </c:pt>
                <c:pt idx="6">
                  <c:v>4.3209999999999997</c:v>
                </c:pt>
                <c:pt idx="9">
                  <c:v>3.1160000000000001</c:v>
                </c:pt>
                <c:pt idx="20">
                  <c:v>2.7919999999999998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3-4007-B177-ACE494DB94F5}"/>
            </c:ext>
          </c:extLst>
        </c:ser>
        <c:ser>
          <c:idx val="1"/>
          <c:order val="1"/>
          <c:tx>
            <c:v>Overhead - single engine</c:v>
          </c:tx>
          <c:spPr>
            <a:solidFill>
              <a:srgbClr val="AAC9EF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XRT'!$D$2:$D$23</c:f>
              <c:numCache>
                <c:formatCode>General</c:formatCode>
                <c:ptCount val="22"/>
                <c:pt idx="0">
                  <c:v>1.637</c:v>
                </c:pt>
                <c:pt idx="1">
                  <c:v>3.407</c:v>
                </c:pt>
                <c:pt idx="3">
                  <c:v>4.5190000000000001</c:v>
                </c:pt>
                <c:pt idx="6">
                  <c:v>6.1829999999999998</c:v>
                </c:pt>
                <c:pt idx="9">
                  <c:v>9.0090000000000003</c:v>
                </c:pt>
                <c:pt idx="20">
                  <c:v>12.083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3-4007-B177-ACE494DB94F5}"/>
            </c:ext>
          </c:extLst>
        </c:ser>
        <c:ser>
          <c:idx val="2"/>
          <c:order val="2"/>
          <c:tx>
            <c:v>Engine - multi-tenant, 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XRT'!$E$2:$E$23</c:f>
              <c:numCache>
                <c:formatCode>General</c:formatCode>
                <c:ptCount val="22"/>
                <c:pt idx="2">
                  <c:v>7.1079999999999997</c:v>
                </c:pt>
                <c:pt idx="7">
                  <c:v>4.6859999999999999</c:v>
                </c:pt>
                <c:pt idx="8">
                  <c:v>3.8980000000000001</c:v>
                </c:pt>
                <c:pt idx="10">
                  <c:v>3.7509999999999999</c:v>
                </c:pt>
                <c:pt idx="13">
                  <c:v>2.7490000000000001</c:v>
                </c:pt>
                <c:pt idx="17">
                  <c:v>3.4359999999999999</c:v>
                </c:pt>
                <c:pt idx="18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3-4007-B177-ACE494DB94F5}"/>
            </c:ext>
          </c:extLst>
        </c:ser>
        <c:ser>
          <c:idx val="3"/>
          <c:order val="3"/>
          <c:tx>
            <c:v>Overhead - multi-tenant, own vector</c:v>
          </c:tx>
          <c:spPr>
            <a:solidFill>
              <a:srgbClr val="F7C3AE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XRT'!$F$2:$F$23</c:f>
              <c:numCache>
                <c:formatCode>General</c:formatCode>
                <c:ptCount val="22"/>
                <c:pt idx="2">
                  <c:v>3.879</c:v>
                </c:pt>
                <c:pt idx="7">
                  <c:v>6.1079999999999997</c:v>
                </c:pt>
                <c:pt idx="8">
                  <c:v>6.9320000000000004</c:v>
                </c:pt>
                <c:pt idx="10">
                  <c:v>7.82</c:v>
                </c:pt>
                <c:pt idx="13">
                  <c:v>9.3320000000000007</c:v>
                </c:pt>
                <c:pt idx="17">
                  <c:v>9.7650000000000006</c:v>
                </c:pt>
                <c:pt idx="18">
                  <c:v>10.276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3-4007-B177-ACE494DB94F5}"/>
            </c:ext>
          </c:extLst>
        </c:ser>
        <c:ser>
          <c:idx val="4"/>
          <c:order val="4"/>
          <c:tx>
            <c:v>Engine - 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XRT'!$G$2:$G$23</c:f>
              <c:numCache>
                <c:formatCode>General</c:formatCode>
                <c:ptCount val="22"/>
                <c:pt idx="4">
                  <c:v>8.2170000000000005</c:v>
                </c:pt>
                <c:pt idx="11">
                  <c:v>2.8029999999999999</c:v>
                </c:pt>
                <c:pt idx="14">
                  <c:v>4.1079999999999997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3-4007-B177-ACE494DB94F5}"/>
            </c:ext>
          </c:extLst>
        </c:ser>
        <c:ser>
          <c:idx val="5"/>
          <c:order val="5"/>
          <c:tx>
            <c:v>Overhead - shared vector</c:v>
          </c:tx>
          <c:spPr>
            <a:solidFill>
              <a:srgbClr val="A4DFCA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XRT'!$H$2:$H$23</c:f>
              <c:numCache>
                <c:formatCode>General</c:formatCode>
                <c:ptCount val="22"/>
                <c:pt idx="4">
                  <c:v>4.5359999999999996</c:v>
                </c:pt>
                <c:pt idx="11">
                  <c:v>9.2370000000000001</c:v>
                </c:pt>
                <c:pt idx="14">
                  <c:v>9.5190000000000001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E3-4007-B177-ACE494DB94F5}"/>
            </c:ext>
          </c:extLst>
        </c:ser>
        <c:ser>
          <c:idx val="6"/>
          <c:order val="6"/>
          <c:tx>
            <c:v>Engine - 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XRT'!$I$2:$I$23</c:f>
              <c:numCache>
                <c:formatCode>General</c:formatCode>
                <c:ptCount val="22"/>
                <c:pt idx="5">
                  <c:v>4.7460000000000004</c:v>
                </c:pt>
                <c:pt idx="12">
                  <c:v>2.7639999999999998</c:v>
                </c:pt>
                <c:pt idx="15">
                  <c:v>2.7229999999999999</c:v>
                </c:pt>
                <c:pt idx="16">
                  <c:v>2.7629999999999999</c:v>
                </c:pt>
                <c:pt idx="19">
                  <c:v>2.5579999999999998</c:v>
                </c:pt>
                <c:pt idx="21">
                  <c:v>2.2770000000000001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E3-4007-B177-ACE494DB94F5}"/>
            </c:ext>
          </c:extLst>
        </c:ser>
        <c:ser>
          <c:idx val="7"/>
          <c:order val="7"/>
          <c:tx>
            <c:v>Overhead - broadcast vector</c:v>
          </c:tx>
          <c:spPr>
            <a:solidFill>
              <a:srgbClr val="F8D999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XRT'!$J$2:$J$23</c:f>
              <c:numCache>
                <c:formatCode>General</c:formatCode>
                <c:ptCount val="22"/>
                <c:pt idx="5">
                  <c:v>4.649</c:v>
                </c:pt>
                <c:pt idx="12">
                  <c:v>8.5820000000000007</c:v>
                </c:pt>
                <c:pt idx="15">
                  <c:v>9.1069999999999993</c:v>
                </c:pt>
                <c:pt idx="16">
                  <c:v>9.3699999999999992</c:v>
                </c:pt>
                <c:pt idx="19">
                  <c:v>10.206</c:v>
                </c:pt>
                <c:pt idx="21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E3-4007-B177-ACE494DB9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20050303"/>
        <c:axId val="377914287"/>
      </c:barChart>
      <c:catAx>
        <c:axId val="520050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914287"/>
        <c:crosses val="autoZero"/>
        <c:auto val="1"/>
        <c:lblAlgn val="ctr"/>
        <c:lblOffset val="100"/>
        <c:noMultiLvlLbl val="0"/>
      </c:catAx>
      <c:valAx>
        <c:axId val="3779142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per token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52005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Qwen3.5-35B-A3B step 1 - tokens per second (one token = 40 layers)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XRT'!$W$2:$W$23</c:f>
              <c:numCache>
                <c:formatCode>General</c:formatCode>
                <c:ptCount val="22"/>
                <c:pt idx="0">
                  <c:v>63.6</c:v>
                </c:pt>
                <c:pt idx="1">
                  <c:v>91.74</c:v>
                </c:pt>
                <c:pt idx="3">
                  <c:v>101.15</c:v>
                </c:pt>
                <c:pt idx="6">
                  <c:v>95.2</c:v>
                </c:pt>
                <c:pt idx="9">
                  <c:v>82.48</c:v>
                </c:pt>
                <c:pt idx="20">
                  <c:v>67.23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5-4771-89E3-75D77BF7AB56}"/>
            </c:ext>
          </c:extLst>
        </c:ser>
        <c:ser>
          <c:idx val="1"/>
          <c:order val="1"/>
          <c:tx>
            <c:v>Multi-tenant, 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XRT'!$X$2:$X$23</c:f>
              <c:numCache>
                <c:formatCode>General</c:formatCode>
                <c:ptCount val="22"/>
                <c:pt idx="2">
                  <c:v>91.02</c:v>
                </c:pt>
                <c:pt idx="7">
                  <c:v>92.64</c:v>
                </c:pt>
                <c:pt idx="8">
                  <c:v>92.34</c:v>
                </c:pt>
                <c:pt idx="10">
                  <c:v>86.42</c:v>
                </c:pt>
                <c:pt idx="13">
                  <c:v>82.78</c:v>
                </c:pt>
                <c:pt idx="17">
                  <c:v>75.75</c:v>
                </c:pt>
                <c:pt idx="18">
                  <c:v>77.3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5-4771-89E3-75D77BF7AB56}"/>
            </c:ext>
          </c:extLst>
        </c:ser>
        <c:ser>
          <c:idx val="2"/>
          <c:order val="2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XRT'!$Y$2:$Y$23</c:f>
              <c:numCache>
                <c:formatCode>General</c:formatCode>
                <c:ptCount val="22"/>
                <c:pt idx="4">
                  <c:v>78.41</c:v>
                </c:pt>
                <c:pt idx="11">
                  <c:v>83.05</c:v>
                </c:pt>
                <c:pt idx="14">
                  <c:v>73.38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C5-4771-89E3-75D77BF7AB56}"/>
            </c:ext>
          </c:extLst>
        </c:ser>
        <c:ser>
          <c:idx val="3"/>
          <c:order val="3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XRT'!$Z$2:$Z$23</c:f>
              <c:numCache>
                <c:formatCode>General</c:formatCode>
                <c:ptCount val="22"/>
                <c:pt idx="5">
                  <c:v>106.44</c:v>
                </c:pt>
                <c:pt idx="12">
                  <c:v>88.13</c:v>
                </c:pt>
                <c:pt idx="15">
                  <c:v>84.53</c:v>
                </c:pt>
                <c:pt idx="16">
                  <c:v>82.42</c:v>
                </c:pt>
                <c:pt idx="19">
                  <c:v>78.34</c:v>
                </c:pt>
                <c:pt idx="21">
                  <c:v>71.03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C5-4771-89E3-75D77BF7A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56712415"/>
        <c:axId val="377909967"/>
      </c:barChart>
      <c:catAx>
        <c:axId val="55671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909967"/>
        <c:crosses val="autoZero"/>
        <c:auto val="1"/>
        <c:lblAlgn val="ctr"/>
        <c:lblOffset val="100"/>
        <c:noMultiLvlLbl val="0"/>
      </c:catAx>
      <c:valAx>
        <c:axId val="377909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55671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Qwen3.5-35B-A3B step 1 - energy per token: static (idle power x time) vs dynamic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Static (idle) - 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XRT'!$K$2:$K$23</c:f>
              <c:numCache>
                <c:formatCode>General</c:formatCode>
                <c:ptCount val="22"/>
                <c:pt idx="0">
                  <c:v>398.75</c:v>
                </c:pt>
                <c:pt idx="1">
                  <c:v>287.40300000000002</c:v>
                </c:pt>
                <c:pt idx="3">
                  <c:v>268.58800000000002</c:v>
                </c:pt>
                <c:pt idx="6">
                  <c:v>319.84699999999998</c:v>
                </c:pt>
                <c:pt idx="9">
                  <c:v>390.49400000000003</c:v>
                </c:pt>
                <c:pt idx="20">
                  <c:v>493.80200000000002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8-4ABB-B4A1-64184EE328DD}"/>
            </c:ext>
          </c:extLst>
        </c:ser>
        <c:ser>
          <c:idx val="1"/>
          <c:order val="1"/>
          <c:tx>
            <c:v>Dynamic - single engine</c:v>
          </c:tx>
          <c:spPr>
            <a:solidFill>
              <a:srgbClr val="AAC9EF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XRT'!$L$2:$L$23</c:f>
              <c:numCache>
                <c:formatCode>General</c:formatCode>
                <c:ptCount val="22"/>
                <c:pt idx="0">
                  <c:v>63.534999999999997</c:v>
                </c:pt>
                <c:pt idx="1">
                  <c:v>58.457000000000001</c:v>
                </c:pt>
                <c:pt idx="3">
                  <c:v>58.619</c:v>
                </c:pt>
                <c:pt idx="6">
                  <c:v>64.436999999999998</c:v>
                </c:pt>
                <c:pt idx="9">
                  <c:v>57.887999999999998</c:v>
                </c:pt>
                <c:pt idx="20">
                  <c:v>55.564999999999998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8-4ABB-B4A1-64184EE328DD}"/>
            </c:ext>
          </c:extLst>
        </c:ser>
        <c:ser>
          <c:idx val="2"/>
          <c:order val="2"/>
          <c:tx>
            <c:v>Static (idle) - multi-tenant, 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XRT'!$M$2:$M$23</c:f>
              <c:numCache>
                <c:formatCode>General</c:formatCode>
                <c:ptCount val="22"/>
                <c:pt idx="2">
                  <c:v>293.25400000000002</c:v>
                </c:pt>
                <c:pt idx="7">
                  <c:v>335.154</c:v>
                </c:pt>
                <c:pt idx="8">
                  <c:v>341.78300000000002</c:v>
                </c:pt>
                <c:pt idx="10">
                  <c:v>375.71899999999999</c:v>
                </c:pt>
                <c:pt idx="13">
                  <c:v>405.85700000000003</c:v>
                </c:pt>
                <c:pt idx="17">
                  <c:v>440.745</c:v>
                </c:pt>
                <c:pt idx="18">
                  <c:v>442.23399999999998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8-4ABB-B4A1-64184EE328DD}"/>
            </c:ext>
          </c:extLst>
        </c:ser>
        <c:ser>
          <c:idx val="3"/>
          <c:order val="3"/>
          <c:tx>
            <c:v>Dynamic - multi-tenant, own vector</c:v>
          </c:tx>
          <c:spPr>
            <a:solidFill>
              <a:srgbClr val="F7C3AE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XRT'!$N$2:$N$23</c:f>
              <c:numCache>
                <c:formatCode>General</c:formatCode>
                <c:ptCount val="22"/>
                <c:pt idx="2">
                  <c:v>62.06</c:v>
                </c:pt>
                <c:pt idx="7">
                  <c:v>63.01</c:v>
                </c:pt>
                <c:pt idx="8">
                  <c:v>69.915000000000006</c:v>
                </c:pt>
                <c:pt idx="10">
                  <c:v>60.548000000000002</c:v>
                </c:pt>
                <c:pt idx="13">
                  <c:v>65.042000000000002</c:v>
                </c:pt>
                <c:pt idx="17">
                  <c:v>57.755000000000003</c:v>
                </c:pt>
                <c:pt idx="18">
                  <c:v>67.625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E8-4ABB-B4A1-64184EE328DD}"/>
            </c:ext>
          </c:extLst>
        </c:ser>
        <c:ser>
          <c:idx val="4"/>
          <c:order val="4"/>
          <c:tx>
            <c:v>Static (idle) - 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XRT'!$O$2:$O$23</c:f>
              <c:numCache>
                <c:formatCode>General</c:formatCode>
                <c:ptCount val="22"/>
                <c:pt idx="4">
                  <c:v>396.03</c:v>
                </c:pt>
                <c:pt idx="11">
                  <c:v>402.71499999999997</c:v>
                </c:pt>
                <c:pt idx="14">
                  <c:v>455.38400000000001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E8-4ABB-B4A1-64184EE328DD}"/>
            </c:ext>
          </c:extLst>
        </c:ser>
        <c:ser>
          <c:idx val="5"/>
          <c:order val="5"/>
          <c:tx>
            <c:v>Dynamic - shared vector</c:v>
          </c:tx>
          <c:spPr>
            <a:solidFill>
              <a:srgbClr val="A4DFCA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XRT'!$P$2:$P$23</c:f>
              <c:numCache>
                <c:formatCode>General</c:formatCode>
                <c:ptCount val="22"/>
                <c:pt idx="4">
                  <c:v>57.703000000000003</c:v>
                </c:pt>
                <c:pt idx="11">
                  <c:v>53.723999999999997</c:v>
                </c:pt>
                <c:pt idx="14">
                  <c:v>50.862000000000002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E8-4ABB-B4A1-64184EE328DD}"/>
            </c:ext>
          </c:extLst>
        </c:ser>
        <c:ser>
          <c:idx val="6"/>
          <c:order val="6"/>
          <c:tx>
            <c:v>Static (idle) - 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XRT'!$Q$2:$Q$23</c:f>
              <c:numCache>
                <c:formatCode>General</c:formatCode>
                <c:ptCount val="22"/>
                <c:pt idx="5">
                  <c:v>261.90199999999999</c:v>
                </c:pt>
                <c:pt idx="12">
                  <c:v>377.13900000000001</c:v>
                </c:pt>
                <c:pt idx="15">
                  <c:v>398.24299999999999</c:v>
                </c:pt>
                <c:pt idx="16">
                  <c:v>404.60899999999998</c:v>
                </c:pt>
                <c:pt idx="19">
                  <c:v>434.98899999999998</c:v>
                </c:pt>
                <c:pt idx="21">
                  <c:v>488.48599999999999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E8-4ABB-B4A1-64184EE328DD}"/>
            </c:ext>
          </c:extLst>
        </c:ser>
        <c:ser>
          <c:idx val="7"/>
          <c:order val="7"/>
          <c:tx>
            <c:v>Dynamic - broadcast vector</c:v>
          </c:tx>
          <c:spPr>
            <a:solidFill>
              <a:srgbClr val="F8D999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XRT'!$R$2:$R$23</c:f>
              <c:numCache>
                <c:formatCode>General</c:formatCode>
                <c:ptCount val="22"/>
                <c:pt idx="5">
                  <c:v>62.488999999999997</c:v>
                </c:pt>
                <c:pt idx="12">
                  <c:v>70.772999999999996</c:v>
                </c:pt>
                <c:pt idx="15">
                  <c:v>54.594000000000001</c:v>
                </c:pt>
                <c:pt idx="16">
                  <c:v>58.232999999999997</c:v>
                </c:pt>
                <c:pt idx="19">
                  <c:v>77.423000000000002</c:v>
                </c:pt>
                <c:pt idx="21">
                  <c:v>57.845999999999997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E8-4ABB-B4A1-64184EE3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262752927"/>
        <c:axId val="377824527"/>
      </c:barChart>
      <c:catAx>
        <c:axId val="126275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824527"/>
        <c:crosses val="autoZero"/>
        <c:auto val="1"/>
        <c:lblAlgn val="ctr"/>
        <c:lblOffset val="100"/>
        <c:noMultiLvlLbl val="0"/>
      </c:catAx>
      <c:valAx>
        <c:axId val="3778245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token (mJ)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6275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Qwen3.5-35B-A3B step 1 - energy per useful MAC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XRT'!$AI$2:$AI$23</c:f>
              <c:numCache>
                <c:formatCode>General</c:formatCode>
                <c:ptCount val="22"/>
                <c:pt idx="0">
                  <c:v>2.6126</c:v>
                </c:pt>
                <c:pt idx="1">
                  <c:v>1.9545999999999999</c:v>
                </c:pt>
                <c:pt idx="3">
                  <c:v>1.8492</c:v>
                </c:pt>
                <c:pt idx="6">
                  <c:v>2.1717</c:v>
                </c:pt>
                <c:pt idx="9">
                  <c:v>2.5339999999999998</c:v>
                </c:pt>
                <c:pt idx="20">
                  <c:v>3.1046999999999998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A-43DF-9650-8C6B1C729C32}"/>
            </c:ext>
          </c:extLst>
        </c:ser>
        <c:ser>
          <c:idx val="1"/>
          <c:order val="1"/>
          <c:tx>
            <c:v>Multi-tenant, 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XRT'!$AJ$2:$AJ$23</c:f>
              <c:numCache>
                <c:formatCode>General</c:formatCode>
                <c:ptCount val="22"/>
                <c:pt idx="2">
                  <c:v>2.008</c:v>
                </c:pt>
                <c:pt idx="7">
                  <c:v>2.2502</c:v>
                </c:pt>
                <c:pt idx="8">
                  <c:v>2.3267000000000002</c:v>
                </c:pt>
                <c:pt idx="10">
                  <c:v>2.4655</c:v>
                </c:pt>
                <c:pt idx="13">
                  <c:v>2.6612</c:v>
                </c:pt>
                <c:pt idx="17">
                  <c:v>2.8172000000000001</c:v>
                </c:pt>
                <c:pt idx="18">
                  <c:v>2.8814000000000002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A-43DF-9650-8C6B1C729C32}"/>
            </c:ext>
          </c:extLst>
        </c:ser>
        <c:ser>
          <c:idx val="2"/>
          <c:order val="2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XRT'!$AK$2:$AK$23</c:f>
              <c:numCache>
                <c:formatCode>General</c:formatCode>
                <c:ptCount val="22"/>
                <c:pt idx="4">
                  <c:v>2.5642</c:v>
                </c:pt>
                <c:pt idx="11">
                  <c:v>2.5794999999999999</c:v>
                </c:pt>
                <c:pt idx="14">
                  <c:v>2.8610000000000002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A-43DF-9650-8C6B1C729C32}"/>
            </c:ext>
          </c:extLst>
        </c:ser>
        <c:ser>
          <c:idx val="3"/>
          <c:order val="3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XRT'!$AL$2:$AL$23</c:f>
              <c:numCache>
                <c:formatCode>General</c:formatCode>
                <c:ptCount val="22"/>
                <c:pt idx="5">
                  <c:v>1.8332999999999999</c:v>
                </c:pt>
                <c:pt idx="12">
                  <c:v>2.5312999999999999</c:v>
                </c:pt>
                <c:pt idx="15">
                  <c:v>2.5592000000000001</c:v>
                </c:pt>
                <c:pt idx="16">
                  <c:v>2.6156999999999999</c:v>
                </c:pt>
                <c:pt idx="19">
                  <c:v>2.8957999999999999</c:v>
                </c:pt>
                <c:pt idx="21">
                  <c:v>3.0874999999999999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A-43DF-9650-8C6B1C729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262731583"/>
        <c:axId val="377837007"/>
      </c:barChart>
      <c:catAx>
        <c:axId val="1262731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837007"/>
        <c:crosses val="autoZero"/>
        <c:auto val="1"/>
        <c:lblAlgn val="ctr"/>
        <c:lblOffset val="100"/>
        <c:noMultiLvlLbl val="0"/>
      </c:catAx>
      <c:valAx>
        <c:axId val="3778370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nJ per useful MAC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6273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Vector feed - tokens per second (Qwen step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Twins'!$A$9:$A$11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Twins'!$B$9:$B$11</c:f>
              <c:numCache>
                <c:formatCode>0.0</c:formatCode>
                <c:ptCount val="3"/>
                <c:pt idx="0">
                  <c:v>92.64</c:v>
                </c:pt>
                <c:pt idx="1">
                  <c:v>77.3</c:v>
                </c:pt>
                <c:pt idx="2">
                  <c:v>82.78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6-403F-BE0B-37B558365EA4}"/>
            </c:ext>
          </c:extLst>
        </c:ser>
        <c:ser>
          <c:idx val="1"/>
          <c:order val="1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Twins'!$A$9:$A$11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Twins'!$C$9:$C$11</c:f>
              <c:numCache>
                <c:formatCode>0.0</c:formatCode>
                <c:ptCount val="3"/>
                <c:pt idx="0">
                  <c:v>78.41</c:v>
                </c:pt>
                <c:pt idx="1">
                  <c:v>73.38</c:v>
                </c:pt>
                <c:pt idx="2">
                  <c:v>83.05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6-403F-BE0B-37B558365EA4}"/>
            </c:ext>
          </c:extLst>
        </c:ser>
        <c:ser>
          <c:idx val="2"/>
          <c:order val="2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Twins'!$A$9:$A$11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Twins'!$D$9:$D$11</c:f>
              <c:numCache>
                <c:formatCode>0.0</c:formatCode>
                <c:ptCount val="3"/>
                <c:pt idx="0">
                  <c:v>106.44</c:v>
                </c:pt>
                <c:pt idx="1">
                  <c:v>82.42</c:v>
                </c:pt>
                <c:pt idx="2">
                  <c:v>88.13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56-403F-BE0B-37B558365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262731119"/>
        <c:axId val="377895567"/>
      </c:barChart>
      <c:catAx>
        <c:axId val="126273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Twin set (same engines, same count)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895567"/>
        <c:crosses val="autoZero"/>
        <c:auto val="1"/>
        <c:lblAlgn val="ctr"/>
        <c:lblOffset val="100"/>
        <c:noMultiLvlLbl val="0"/>
      </c:catAx>
      <c:valAx>
        <c:axId val="3778955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6273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Vector feed - energy per token (Qwen step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Twins'!$A$15:$A$17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Twins'!$B$15:$B$17</c:f>
              <c:numCache>
                <c:formatCode>0.0</c:formatCode>
                <c:ptCount val="3"/>
                <c:pt idx="0">
                  <c:v>398.16399999999999</c:v>
                </c:pt>
                <c:pt idx="1">
                  <c:v>509.858</c:v>
                </c:pt>
                <c:pt idx="2">
                  <c:v>470.9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8-49D3-BD67-DF8EBCD09988}"/>
            </c:ext>
          </c:extLst>
        </c:ser>
        <c:ser>
          <c:idx val="1"/>
          <c:order val="1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Twins'!$A$15:$A$17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Twins'!$C$15:$C$17</c:f>
              <c:numCache>
                <c:formatCode>0.0</c:formatCode>
                <c:ptCount val="3"/>
                <c:pt idx="0">
                  <c:v>453.733</c:v>
                </c:pt>
                <c:pt idx="1">
                  <c:v>506.24599999999998</c:v>
                </c:pt>
                <c:pt idx="2">
                  <c:v>456.44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8-49D3-BD67-DF8EBCD09988}"/>
            </c:ext>
          </c:extLst>
        </c:ser>
        <c:ser>
          <c:idx val="2"/>
          <c:order val="2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Twins'!$A$15:$A$17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Twins'!$D$15:$D$17</c:f>
              <c:numCache>
                <c:formatCode>0.0</c:formatCode>
                <c:ptCount val="3"/>
                <c:pt idx="0">
                  <c:v>324.39100000000002</c:v>
                </c:pt>
                <c:pt idx="1">
                  <c:v>462.84100000000001</c:v>
                </c:pt>
                <c:pt idx="2">
                  <c:v>447.91199999999998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8-49D3-BD67-DF8EBCD09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337245695"/>
        <c:axId val="377978127"/>
      </c:barChart>
      <c:catAx>
        <c:axId val="133724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Twin set (same engines, same count)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978127"/>
        <c:crosses val="autoZero"/>
        <c:auto val="1"/>
        <c:lblAlgn val="ctr"/>
        <c:lblOffset val="100"/>
        <c:noMultiLvlLbl val="0"/>
      </c:catAx>
      <c:valAx>
        <c:axId val="3779781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token (mJ)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724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Vector feed - board idle power (bitstream loaded)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Twins'!$A$21:$A$23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Twins'!$B$21:$B$23</c:f>
              <c:numCache>
                <c:formatCode>0.00</c:formatCode>
                <c:ptCount val="3"/>
                <c:pt idx="0">
                  <c:v>31.05</c:v>
                </c:pt>
                <c:pt idx="1">
                  <c:v>34.185000000000002</c:v>
                </c:pt>
                <c:pt idx="2">
                  <c:v>33.595999999999997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7-44DF-8356-61F26C3EA73C}"/>
            </c:ext>
          </c:extLst>
        </c:ser>
        <c:ser>
          <c:idx val="1"/>
          <c:order val="1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Twins'!$A$21:$A$23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Twins'!$C$21:$C$23</c:f>
              <c:numCache>
                <c:formatCode>0.00</c:formatCode>
                <c:ptCount val="3"/>
                <c:pt idx="0">
                  <c:v>31.052</c:v>
                </c:pt>
                <c:pt idx="1">
                  <c:v>33.417999999999999</c:v>
                </c:pt>
                <c:pt idx="2">
                  <c:v>33.447000000000003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7-44DF-8356-61F26C3EA73C}"/>
            </c:ext>
          </c:extLst>
        </c:ser>
        <c:ser>
          <c:idx val="2"/>
          <c:order val="2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Twins'!$A$21:$A$23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'Qwen Twins'!$D$21:$D$23</c:f>
              <c:numCache>
                <c:formatCode>0.00</c:formatCode>
                <c:ptCount val="3"/>
                <c:pt idx="0">
                  <c:v>27.878</c:v>
                </c:pt>
                <c:pt idx="1">
                  <c:v>33.347000000000001</c:v>
                </c:pt>
                <c:pt idx="2">
                  <c:v>33.238999999999997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07-44DF-8356-61F26C3EA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337296735"/>
        <c:axId val="377986287"/>
      </c:barChart>
      <c:catAx>
        <c:axId val="133729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Twin set (same engines, same count)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986287"/>
        <c:crosses val="autoZero"/>
        <c:auto val="1"/>
        <c:lblAlgn val="ctr"/>
        <c:lblOffset val="100"/>
        <c:noMultiLvlLbl val="0"/>
      </c:catAx>
      <c:valAx>
        <c:axId val="377986287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Idle power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729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4x4 engines - tokens per second vs number of engines (clock 400 to 311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Own vector</c:v>
          </c:tx>
          <c:spPr>
            <a:ln w="28575" cap="rnd">
              <a:solidFill>
                <a:srgbClr val="EB6834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EB6834"/>
              </a:solidFill>
              <a:ln w="9525">
                <a:solidFill>
                  <a:srgbClr val="EB6834"/>
                </a:solidFill>
                <a:prstDash val="solid"/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'Qwen Scaling'!$A$3:$A$9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'Qwen Scaling'!$B$3:$B$9</c:f>
              <c:numCache>
                <c:formatCode>0.0</c:formatCode>
                <c:ptCount val="7"/>
                <c:pt idx="0">
                  <c:v>63.6</c:v>
                </c:pt>
                <c:pt idx="1">
                  <c:v>91.02</c:v>
                </c:pt>
                <c:pt idx="2">
                  <c:v>92.64</c:v>
                </c:pt>
                <c:pt idx="3">
                  <c:v>86.42</c:v>
                </c:pt>
                <c:pt idx="4">
                  <c:v>75.75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E-4887-8543-F7C1A7772508}"/>
            </c:ext>
          </c:extLst>
        </c:ser>
        <c:ser>
          <c:idx val="1"/>
          <c:order val="1"/>
          <c:tx>
            <c:v>Shared vector</c:v>
          </c:tx>
          <c:spPr>
            <a:ln w="28575" cap="rnd">
              <a:solidFill>
                <a:srgbClr val="1BAF7A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1BAF7A"/>
              </a:solidFill>
              <a:ln w="9525">
                <a:solidFill>
                  <a:srgbClr val="1BAF7A"/>
                </a:solidFill>
                <a:prstDash val="solid"/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'Qwen Scaling'!$A$3:$A$9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'Qwen Scaling'!$C$3:$C$9</c:f>
              <c:numCache>
                <c:formatCode>General</c:formatCode>
                <c:ptCount val="7"/>
                <c:pt idx="2" formatCode="0.0">
                  <c:v>78.41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2E-4887-8543-F7C1A7772508}"/>
            </c:ext>
          </c:extLst>
        </c:ser>
        <c:ser>
          <c:idx val="2"/>
          <c:order val="2"/>
          <c:tx>
            <c:v>Broadcast vector</c:v>
          </c:tx>
          <c:spPr>
            <a:ln w="28575" cap="rnd">
              <a:solidFill>
                <a:srgbClr val="EDA10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EDA100"/>
              </a:solidFill>
              <a:ln w="9525">
                <a:solidFill>
                  <a:srgbClr val="EDA100"/>
                </a:solidFill>
                <a:prstDash val="solid"/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'Qwen Scaling'!$A$3:$A$9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'Qwen Scaling'!$D$3:$D$9</c:f>
              <c:numCache>
                <c:formatCode>General</c:formatCode>
                <c:ptCount val="7"/>
                <c:pt idx="2" formatCode="0.0">
                  <c:v>106.44</c:v>
                </c:pt>
                <c:pt idx="5" formatCode="0.0">
                  <c:v>84.53</c:v>
                </c:pt>
                <c:pt idx="6" formatCode="0.0">
                  <c:v>78.34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2E-4887-8543-F7C1A7772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28063"/>
        <c:axId val="377984367"/>
      </c:scatterChart>
      <c:valAx>
        <c:axId val="1337228063"/>
        <c:scaling>
          <c:orientation val="minMax"/>
          <c:max val="7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4x4 engines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984367"/>
        <c:crosses val="autoZero"/>
        <c:crossBetween val="midCat"/>
        <c:majorUnit val="1"/>
      </c:valAx>
      <c:valAx>
        <c:axId val="3779843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Tokens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7228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4x4 engines - energy per token vs number of engines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Own vector</c:v>
          </c:tx>
          <c:spPr>
            <a:ln w="28575" cap="rnd">
              <a:solidFill>
                <a:srgbClr val="EB6834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EB6834"/>
              </a:solidFill>
              <a:ln w="9525">
                <a:solidFill>
                  <a:srgbClr val="EB6834"/>
                </a:solidFill>
                <a:prstDash val="solid"/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'Qwen Scaling'!$A$3:$A$9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'Qwen Scaling'!$E$3:$E$9</c:f>
              <c:numCache>
                <c:formatCode>0.0</c:formatCode>
                <c:ptCount val="7"/>
                <c:pt idx="0">
                  <c:v>462.28500000000003</c:v>
                </c:pt>
                <c:pt idx="1">
                  <c:v>355.31400000000002</c:v>
                </c:pt>
                <c:pt idx="2">
                  <c:v>398.16399999999999</c:v>
                </c:pt>
                <c:pt idx="3">
                  <c:v>436.267</c:v>
                </c:pt>
                <c:pt idx="4">
                  <c:v>498.5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0C-48C5-9DD0-8CE60EF51B96}"/>
            </c:ext>
          </c:extLst>
        </c:ser>
        <c:ser>
          <c:idx val="1"/>
          <c:order val="1"/>
          <c:tx>
            <c:v>Shared vector</c:v>
          </c:tx>
          <c:spPr>
            <a:ln w="28575" cap="rnd">
              <a:solidFill>
                <a:srgbClr val="1BAF7A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1BAF7A"/>
              </a:solidFill>
              <a:ln w="9525">
                <a:solidFill>
                  <a:srgbClr val="1BAF7A"/>
                </a:solidFill>
                <a:prstDash val="solid"/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'Qwen Scaling'!$A$3:$A$9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'Qwen Scaling'!$F$3:$F$9</c:f>
              <c:numCache>
                <c:formatCode>General</c:formatCode>
                <c:ptCount val="7"/>
                <c:pt idx="2" formatCode="0.0">
                  <c:v>453.733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C-48C5-9DD0-8CE60EF51B96}"/>
            </c:ext>
          </c:extLst>
        </c:ser>
        <c:ser>
          <c:idx val="2"/>
          <c:order val="2"/>
          <c:tx>
            <c:v>Broadcast vector</c:v>
          </c:tx>
          <c:spPr>
            <a:ln w="28575" cap="rnd">
              <a:solidFill>
                <a:srgbClr val="EDA10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EDA100"/>
              </a:solidFill>
              <a:ln w="9525">
                <a:solidFill>
                  <a:srgbClr val="EDA100"/>
                </a:solidFill>
                <a:prstDash val="solid"/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'Qwen Scaling'!$A$3:$A$9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'Qwen Scaling'!$G$3:$G$9</c:f>
              <c:numCache>
                <c:formatCode>General</c:formatCode>
                <c:ptCount val="7"/>
                <c:pt idx="2" formatCode="0.0">
                  <c:v>324.39100000000002</c:v>
                </c:pt>
                <c:pt idx="5" formatCode="0.0">
                  <c:v>452.83699999999999</c:v>
                </c:pt>
                <c:pt idx="6" formatCode="0.0">
                  <c:v>512.41200000000003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C-48C5-9DD0-8CE60EF5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062831"/>
        <c:axId val="378014607"/>
      </c:scatterChart>
      <c:valAx>
        <c:axId val="520062831"/>
        <c:scaling>
          <c:orientation val="minMax"/>
          <c:max val="7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4x4 engines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8014607"/>
        <c:crosses val="autoZero"/>
        <c:crossBetween val="midCat"/>
        <c:majorUnit val="1"/>
      </c:valAx>
      <c:valAx>
        <c:axId val="3780146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token (mJ)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520062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of the realistic layer by sparsity - error vs exact, % of the RMS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Median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Accuracy'!$A$2:$A$5</c:f>
              <c:strCache>
                <c:ptCount val="4"/>
                <c:pt idx="0">
                  <c:v>2:4</c:v>
                </c:pt>
                <c:pt idx="1">
                  <c:v>2:8</c:v>
                </c:pt>
                <c:pt idx="2">
                  <c:v>2:16</c:v>
                </c:pt>
                <c:pt idx="3">
                  <c:v>2:32</c:v>
                </c:pt>
              </c:strCache>
            </c:strRef>
          </c:cat>
          <c:val>
            <c:numRef>
              <c:f>'Qwen Accuracy'!$F$2:$F$5</c:f>
              <c:numCache>
                <c:formatCode>General</c:formatCode>
                <c:ptCount val="4"/>
                <c:pt idx="0">
                  <c:v>0.28899999999999998</c:v>
                </c:pt>
                <c:pt idx="1">
                  <c:v>0.254</c:v>
                </c:pt>
                <c:pt idx="2">
                  <c:v>0.23699999999999999</c:v>
                </c:pt>
                <c:pt idx="3">
                  <c:v>0.19900000000000001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6-405C-B1F0-D12C7976977F}"/>
            </c:ext>
          </c:extLst>
        </c:ser>
        <c:ser>
          <c:idx val="1"/>
          <c:order val="1"/>
          <c:tx>
            <c:v>95th percentile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Accuracy'!$A$2:$A$5</c:f>
              <c:strCache>
                <c:ptCount val="4"/>
                <c:pt idx="0">
                  <c:v>2:4</c:v>
                </c:pt>
                <c:pt idx="1">
                  <c:v>2:8</c:v>
                </c:pt>
                <c:pt idx="2">
                  <c:v>2:16</c:v>
                </c:pt>
                <c:pt idx="3">
                  <c:v>2:32</c:v>
                </c:pt>
              </c:strCache>
            </c:strRef>
          </c:cat>
          <c:val>
            <c:numRef>
              <c:f>'Qwen Accuracy'!$G$2:$G$5</c:f>
              <c:numCache>
                <c:formatCode>General</c:formatCode>
                <c:ptCount val="4"/>
                <c:pt idx="0">
                  <c:v>1.022</c:v>
                </c:pt>
                <c:pt idx="1">
                  <c:v>0.90800000000000003</c:v>
                </c:pt>
                <c:pt idx="2">
                  <c:v>0.73299999999999998</c:v>
                </c:pt>
                <c:pt idx="3">
                  <c:v>0.71899999999999997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6-405C-B1F0-D12C7976977F}"/>
            </c:ext>
          </c:extLst>
        </c:ser>
        <c:ser>
          <c:idx val="2"/>
          <c:order val="2"/>
          <c:tx>
            <c:v>Maximum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'Qwen Accuracy'!$A$2:$A$5</c:f>
              <c:strCache>
                <c:ptCount val="4"/>
                <c:pt idx="0">
                  <c:v>2:4</c:v>
                </c:pt>
                <c:pt idx="1">
                  <c:v>2:8</c:v>
                </c:pt>
                <c:pt idx="2">
                  <c:v>2:16</c:v>
                </c:pt>
                <c:pt idx="3">
                  <c:v>2:32</c:v>
                </c:pt>
              </c:strCache>
            </c:strRef>
          </c:cat>
          <c:val>
            <c:numRef>
              <c:f>'Qwen Accuracy'!$H$2:$H$5</c:f>
              <c:numCache>
                <c:formatCode>General</c:formatCode>
                <c:ptCount val="4"/>
                <c:pt idx="0">
                  <c:v>2.5720000000000001</c:v>
                </c:pt>
                <c:pt idx="1">
                  <c:v>2.2200000000000002</c:v>
                </c:pt>
                <c:pt idx="2">
                  <c:v>1.454</c:v>
                </c:pt>
                <c:pt idx="3">
                  <c:v>1.8720000000000001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6-405C-B1F0-D12C79769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337280959"/>
        <c:axId val="2092340655"/>
      </c:barChart>
      <c:catAx>
        <c:axId val="1337280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Sparsity (non-zero terms per row: 1024 / 512 / 256 / 128)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092340655"/>
        <c:crosses val="autoZero"/>
        <c:auto val="1"/>
        <c:lblAlgn val="ctr"/>
        <c:lblOffset val="100"/>
        <c:noMultiLvlLbl val="0"/>
      </c:catAx>
      <c:valAx>
        <c:axId val="2092340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(% of RMS output)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728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per build - the same arithmetic on every bitstream (twins were tested on identical data)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Median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XRT'!$CF$2:$CF$23</c:f>
              <c:numCache>
                <c:formatCode>General</c:formatCode>
                <c:ptCount val="22"/>
                <c:pt idx="0">
                  <c:v>0.23300000000000001</c:v>
                </c:pt>
                <c:pt idx="1">
                  <c:v>0.23699999999999999</c:v>
                </c:pt>
                <c:pt idx="2">
                  <c:v>0.23699999999999999</c:v>
                </c:pt>
                <c:pt idx="3">
                  <c:v>0.26200000000000001</c:v>
                </c:pt>
                <c:pt idx="4">
                  <c:v>0.25800000000000001</c:v>
                </c:pt>
                <c:pt idx="5">
                  <c:v>0.25800000000000001</c:v>
                </c:pt>
                <c:pt idx="6">
                  <c:v>0.24099999999999999</c:v>
                </c:pt>
                <c:pt idx="7">
                  <c:v>0.25800000000000001</c:v>
                </c:pt>
                <c:pt idx="8">
                  <c:v>0.19800000000000001</c:v>
                </c:pt>
                <c:pt idx="9">
                  <c:v>0.24199999999999999</c:v>
                </c:pt>
                <c:pt idx="10">
                  <c:v>0.23</c:v>
                </c:pt>
                <c:pt idx="11">
                  <c:v>0.254</c:v>
                </c:pt>
                <c:pt idx="12">
                  <c:v>0.254</c:v>
                </c:pt>
                <c:pt idx="13">
                  <c:v>0.254</c:v>
                </c:pt>
                <c:pt idx="14">
                  <c:v>0.21</c:v>
                </c:pt>
                <c:pt idx="15">
                  <c:v>0.23799999999999999</c:v>
                </c:pt>
                <c:pt idx="16">
                  <c:v>0.21</c:v>
                </c:pt>
                <c:pt idx="17">
                  <c:v>0.23300000000000001</c:v>
                </c:pt>
                <c:pt idx="18">
                  <c:v>0.21</c:v>
                </c:pt>
                <c:pt idx="19">
                  <c:v>0.23499999999999999</c:v>
                </c:pt>
                <c:pt idx="20">
                  <c:v>0.255</c:v>
                </c:pt>
                <c:pt idx="21">
                  <c:v>0.23599999999999999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9-42BE-BB4F-89A7D2AE0E99}"/>
            </c:ext>
          </c:extLst>
        </c:ser>
        <c:ser>
          <c:idx val="1"/>
          <c:order val="1"/>
          <c:tx>
            <c:v>95th percentile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XRT'!$CG$2:$CG$23</c:f>
              <c:numCache>
                <c:formatCode>General</c:formatCode>
                <c:ptCount val="22"/>
                <c:pt idx="0">
                  <c:v>0.85899999999999999</c:v>
                </c:pt>
                <c:pt idx="1">
                  <c:v>0.90800000000000003</c:v>
                </c:pt>
                <c:pt idx="2">
                  <c:v>0.94799999999999995</c:v>
                </c:pt>
                <c:pt idx="3">
                  <c:v>0.92100000000000004</c:v>
                </c:pt>
                <c:pt idx="4">
                  <c:v>0.82199999999999995</c:v>
                </c:pt>
                <c:pt idx="5">
                  <c:v>0.82199999999999995</c:v>
                </c:pt>
                <c:pt idx="6">
                  <c:v>0.86099999999999999</c:v>
                </c:pt>
                <c:pt idx="7">
                  <c:v>0.82199999999999995</c:v>
                </c:pt>
                <c:pt idx="8">
                  <c:v>0.82099999999999995</c:v>
                </c:pt>
                <c:pt idx="9">
                  <c:v>0.81899999999999995</c:v>
                </c:pt>
                <c:pt idx="10">
                  <c:v>0.77200000000000002</c:v>
                </c:pt>
                <c:pt idx="11">
                  <c:v>0.86299999999999999</c:v>
                </c:pt>
                <c:pt idx="12">
                  <c:v>0.86299999999999999</c:v>
                </c:pt>
                <c:pt idx="13">
                  <c:v>0.86299999999999999</c:v>
                </c:pt>
                <c:pt idx="14">
                  <c:v>0.83899999999999997</c:v>
                </c:pt>
                <c:pt idx="15">
                  <c:v>0.84299999999999997</c:v>
                </c:pt>
                <c:pt idx="16">
                  <c:v>0.83899999999999997</c:v>
                </c:pt>
                <c:pt idx="17">
                  <c:v>0.80400000000000005</c:v>
                </c:pt>
                <c:pt idx="18">
                  <c:v>0.83899999999999997</c:v>
                </c:pt>
                <c:pt idx="19">
                  <c:v>0.84399999999999997</c:v>
                </c:pt>
                <c:pt idx="20">
                  <c:v>0.74299999999999999</c:v>
                </c:pt>
                <c:pt idx="21">
                  <c:v>0.91800000000000004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9-42BE-BB4F-89A7D2AE0E99}"/>
            </c:ext>
          </c:extLst>
        </c:ser>
        <c:ser>
          <c:idx val="2"/>
          <c:order val="2"/>
          <c:tx>
            <c:v>Maximum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strRef>
              <c:f>'Qwen XRT'!$A$2:$A$23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'Qwen XRT'!$CH$2:$CH$23</c:f>
              <c:numCache>
                <c:formatCode>General</c:formatCode>
                <c:ptCount val="22"/>
                <c:pt idx="0">
                  <c:v>1.321</c:v>
                </c:pt>
                <c:pt idx="1">
                  <c:v>1.907</c:v>
                </c:pt>
                <c:pt idx="2">
                  <c:v>1.8280000000000001</c:v>
                </c:pt>
                <c:pt idx="3">
                  <c:v>1.6519999999999999</c:v>
                </c:pt>
                <c:pt idx="4">
                  <c:v>1.548</c:v>
                </c:pt>
                <c:pt idx="5">
                  <c:v>1.548</c:v>
                </c:pt>
                <c:pt idx="6">
                  <c:v>1.3580000000000001</c:v>
                </c:pt>
                <c:pt idx="7">
                  <c:v>1.548</c:v>
                </c:pt>
                <c:pt idx="8">
                  <c:v>2.3940000000000001</c:v>
                </c:pt>
                <c:pt idx="9">
                  <c:v>2.105</c:v>
                </c:pt>
                <c:pt idx="10">
                  <c:v>2.181</c:v>
                </c:pt>
                <c:pt idx="11">
                  <c:v>1.9830000000000001</c:v>
                </c:pt>
                <c:pt idx="12">
                  <c:v>1.9830000000000001</c:v>
                </c:pt>
                <c:pt idx="13">
                  <c:v>1.9830000000000001</c:v>
                </c:pt>
                <c:pt idx="14">
                  <c:v>2.5720000000000001</c:v>
                </c:pt>
                <c:pt idx="15">
                  <c:v>2.2200000000000002</c:v>
                </c:pt>
                <c:pt idx="16">
                  <c:v>2.5720000000000001</c:v>
                </c:pt>
                <c:pt idx="17">
                  <c:v>2.2080000000000002</c:v>
                </c:pt>
                <c:pt idx="18">
                  <c:v>2.5720000000000001</c:v>
                </c:pt>
                <c:pt idx="19">
                  <c:v>2.2149999999999999</c:v>
                </c:pt>
                <c:pt idx="20">
                  <c:v>1.5780000000000001</c:v>
                </c:pt>
                <c:pt idx="21">
                  <c:v>1.958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9-42BE-BB4F-89A7D2AE0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556711951"/>
        <c:axId val="377902767"/>
      </c:barChart>
      <c:catAx>
        <c:axId val="556711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902767"/>
        <c:crosses val="autoZero"/>
        <c:auto val="1"/>
        <c:lblAlgn val="ctr"/>
        <c:lblOffset val="100"/>
        <c:noMultiLvlLbl val="0"/>
      </c:catAx>
      <c:valAx>
        <c:axId val="37790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(% of RMS output)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55671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UC1 multi-user (132 matrices, each its own vector) - time per pass: engine vs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Engine - 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XRT'!$B$2:$B$14</c:f>
              <c:numCache>
                <c:formatCode>General</c:formatCode>
                <c:ptCount val="13"/>
                <c:pt idx="0">
                  <c:v>15.555999999999999</c:v>
                </c:pt>
                <c:pt idx="1">
                  <c:v>8.2750000000000004</c:v>
                </c:pt>
                <c:pt idx="3">
                  <c:v>5.9740000000000002</c:v>
                </c:pt>
                <c:pt idx="4">
                  <c:v>4.7709999999999999</c:v>
                </c:pt>
                <c:pt idx="7">
                  <c:v>3.4980000000000002</c:v>
                </c:pt>
                <c:pt idx="12">
                  <c:v>3.0840000000000001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7-479B-8229-ADF318992B9C}"/>
            </c:ext>
          </c:extLst>
        </c:ser>
        <c:ser>
          <c:idx val="1"/>
          <c:order val="1"/>
          <c:tx>
            <c:v>Overhead - single engine</c:v>
          </c:tx>
          <c:spPr>
            <a:solidFill>
              <a:srgbClr val="AAC9EF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XRT'!$C$2:$C$14</c:f>
              <c:numCache>
                <c:formatCode>General</c:formatCode>
                <c:ptCount val="13"/>
                <c:pt idx="0">
                  <c:v>5.8959999999999999</c:v>
                </c:pt>
                <c:pt idx="1">
                  <c:v>11.537000000000001</c:v>
                </c:pt>
                <c:pt idx="3">
                  <c:v>14.81</c:v>
                </c:pt>
                <c:pt idx="4">
                  <c:v>20.542000000000002</c:v>
                </c:pt>
                <c:pt idx="7">
                  <c:v>30.303999999999998</c:v>
                </c:pt>
                <c:pt idx="12">
                  <c:v>39.880000000000003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7-479B-8229-ADF318992B9C}"/>
            </c:ext>
          </c:extLst>
        </c:ser>
        <c:ser>
          <c:idx val="2"/>
          <c:order val="2"/>
          <c:tx>
            <c:v>Engine - multi-tenant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XRT'!$D$2:$D$14</c:f>
              <c:numCache>
                <c:formatCode>General</c:formatCode>
                <c:ptCount val="13"/>
                <c:pt idx="2">
                  <c:v>7.9829999999999997</c:v>
                </c:pt>
                <c:pt idx="5">
                  <c:v>5.1749999999999998</c:v>
                </c:pt>
                <c:pt idx="6">
                  <c:v>4.391</c:v>
                </c:pt>
                <c:pt idx="8">
                  <c:v>4.2859999999999996</c:v>
                </c:pt>
                <c:pt idx="9">
                  <c:v>3.1190000000000002</c:v>
                </c:pt>
                <c:pt idx="10">
                  <c:v>3.9089999999999998</c:v>
                </c:pt>
                <c:pt idx="11">
                  <c:v>2.9380000000000002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27-479B-8229-ADF318992B9C}"/>
            </c:ext>
          </c:extLst>
        </c:ser>
        <c:ser>
          <c:idx val="3"/>
          <c:order val="3"/>
          <c:tx>
            <c:v>Overhead - multi-tenant</c:v>
          </c:tx>
          <c:spPr>
            <a:solidFill>
              <a:srgbClr val="F7C3AE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XRT'!$E$2:$E$14</c:f>
              <c:numCache>
                <c:formatCode>General</c:formatCode>
                <c:ptCount val="13"/>
                <c:pt idx="2">
                  <c:v>5.3520000000000003</c:v>
                </c:pt>
                <c:pt idx="5">
                  <c:v>5.85</c:v>
                </c:pt>
                <c:pt idx="6">
                  <c:v>10.478999999999999</c:v>
                </c:pt>
                <c:pt idx="8">
                  <c:v>5.2640000000000002</c:v>
                </c:pt>
                <c:pt idx="9">
                  <c:v>14.113</c:v>
                </c:pt>
                <c:pt idx="10">
                  <c:v>5.0960000000000001</c:v>
                </c:pt>
                <c:pt idx="11">
                  <c:v>10.489000000000001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27-479B-8229-ADF318992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262725087"/>
        <c:axId val="377909007"/>
      </c:barChart>
      <c:catAx>
        <c:axId val="1262725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909007"/>
        <c:crosses val="autoZero"/>
        <c:auto val="1"/>
        <c:lblAlgn val="ctr"/>
        <c:lblOffset val="100"/>
        <c:noMultiLvlLbl val="0"/>
      </c:catAx>
      <c:valAx>
        <c:axId val="3779090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per pass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6272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UC1 multi-user - energy per pass: static (idle power x time) vs dynamic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Static (idle) - 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XRT'!$F$2:$F$14</c:f>
              <c:numCache>
                <c:formatCode>General</c:formatCode>
                <c:ptCount val="13"/>
                <c:pt idx="0">
                  <c:v>542.80999999999995</c:v>
                </c:pt>
                <c:pt idx="1">
                  <c:v>517.94000000000005</c:v>
                </c:pt>
                <c:pt idx="3">
                  <c:v>560.51</c:v>
                </c:pt>
                <c:pt idx="4">
                  <c:v>768.47</c:v>
                </c:pt>
                <c:pt idx="7">
                  <c:v>1085.74</c:v>
                </c:pt>
                <c:pt idx="12">
                  <c:v>1424.27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F-4425-B16E-F10CE3174123}"/>
            </c:ext>
          </c:extLst>
        </c:ser>
        <c:ser>
          <c:idx val="1"/>
          <c:order val="1"/>
          <c:tx>
            <c:v>Dynamic - single engine</c:v>
          </c:tx>
          <c:spPr>
            <a:solidFill>
              <a:srgbClr val="AAC9EF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XRT'!$G$2:$G$14</c:f>
              <c:numCache>
                <c:formatCode>General</c:formatCode>
                <c:ptCount val="13"/>
                <c:pt idx="0">
                  <c:v>34.07</c:v>
                </c:pt>
                <c:pt idx="1">
                  <c:v>33.75</c:v>
                </c:pt>
                <c:pt idx="3">
                  <c:v>29.34</c:v>
                </c:pt>
                <c:pt idx="4">
                  <c:v>31.57</c:v>
                </c:pt>
                <c:pt idx="7">
                  <c:v>16.559999999999999</c:v>
                </c:pt>
                <c:pt idx="12">
                  <c:v>38.56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F-4425-B16E-F10CE3174123}"/>
            </c:ext>
          </c:extLst>
        </c:ser>
        <c:ser>
          <c:idx val="2"/>
          <c:order val="2"/>
          <c:tx>
            <c:v>Static (idle) - multi-tenant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XRT'!$H$2:$H$14</c:f>
              <c:numCache>
                <c:formatCode>General</c:formatCode>
                <c:ptCount val="13"/>
                <c:pt idx="2">
                  <c:v>357.37</c:v>
                </c:pt>
                <c:pt idx="5">
                  <c:v>342.62</c:v>
                </c:pt>
                <c:pt idx="6">
                  <c:v>469.08</c:v>
                </c:pt>
                <c:pt idx="8">
                  <c:v>309.63</c:v>
                </c:pt>
                <c:pt idx="9">
                  <c:v>577.66999999999996</c:v>
                </c:pt>
                <c:pt idx="10">
                  <c:v>300.19</c:v>
                </c:pt>
                <c:pt idx="11">
                  <c:v>458.69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CF-4425-B16E-F10CE3174123}"/>
            </c:ext>
          </c:extLst>
        </c:ser>
        <c:ser>
          <c:idx val="3"/>
          <c:order val="3"/>
          <c:tx>
            <c:v>Dynamic - multi-tenant</c:v>
          </c:tx>
          <c:spPr>
            <a:solidFill>
              <a:srgbClr val="F7C3AE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XRT'!$I$2:$I$14</c:f>
              <c:numCache>
                <c:formatCode>General</c:formatCode>
                <c:ptCount val="13"/>
                <c:pt idx="2">
                  <c:v>34.56</c:v>
                </c:pt>
                <c:pt idx="5">
                  <c:v>29.46</c:v>
                </c:pt>
                <c:pt idx="6">
                  <c:v>31.15</c:v>
                </c:pt>
                <c:pt idx="8">
                  <c:v>35.36</c:v>
                </c:pt>
                <c:pt idx="9">
                  <c:v>20.9</c:v>
                </c:pt>
                <c:pt idx="10">
                  <c:v>32.729999999999997</c:v>
                </c:pt>
                <c:pt idx="11">
                  <c:v>29.59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CF-4425-B16E-F10CE3174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56673439"/>
        <c:axId val="377990127"/>
      </c:barChart>
      <c:catAx>
        <c:axId val="55667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7990127"/>
        <c:crosses val="autoZero"/>
        <c:auto val="1"/>
        <c:lblAlgn val="ctr"/>
        <c:lblOffset val="100"/>
        <c:noMultiLvlLbl val="0"/>
      </c:catAx>
      <c:valAx>
        <c:axId val="3779901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pass (mJ)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55667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UC1 multi-user - throughput over the whole pass (useful GMAC/s)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XRT'!$J$2:$J$14</c:f>
              <c:numCache>
                <c:formatCode>General</c:formatCode>
                <c:ptCount val="13"/>
                <c:pt idx="0">
                  <c:v>9.1159999999999997</c:v>
                </c:pt>
                <c:pt idx="1">
                  <c:v>9.8710000000000004</c:v>
                </c:pt>
                <c:pt idx="3">
                  <c:v>9.4090000000000007</c:v>
                </c:pt>
                <c:pt idx="4">
                  <c:v>7.726</c:v>
                </c:pt>
                <c:pt idx="7">
                  <c:v>5.7859999999999996</c:v>
                </c:pt>
                <c:pt idx="12">
                  <c:v>4.5519999999999996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7-43F9-A43F-BC1844D03565}"/>
            </c:ext>
          </c:extLst>
        </c:ser>
        <c:ser>
          <c:idx val="1"/>
          <c:order val="1"/>
          <c:tx>
            <c:v>Multi-tenant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XRT'!$K$2:$K$14</c:f>
              <c:numCache>
                <c:formatCode>General</c:formatCode>
                <c:ptCount val="13"/>
                <c:pt idx="2">
                  <c:v>14.664999999999999</c:v>
                </c:pt>
                <c:pt idx="5">
                  <c:v>17.738</c:v>
                </c:pt>
                <c:pt idx="6">
                  <c:v>13.151999999999999</c:v>
                </c:pt>
                <c:pt idx="8">
                  <c:v>20.478000000000002</c:v>
                </c:pt>
                <c:pt idx="9">
                  <c:v>11.349</c:v>
                </c:pt>
                <c:pt idx="10">
                  <c:v>21.716999999999999</c:v>
                </c:pt>
                <c:pt idx="11">
                  <c:v>14.565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7-43F9-A43F-BC1844D03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337235951"/>
        <c:axId val="378000687"/>
      </c:barChart>
      <c:catAx>
        <c:axId val="133723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8000687"/>
        <c:crosses val="autoZero"/>
        <c:auto val="1"/>
        <c:lblAlgn val="ctr"/>
        <c:lblOffset val="100"/>
        <c:noMultiLvlLbl val="0"/>
      </c:catAx>
      <c:valAx>
        <c:axId val="3780006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GMAC/s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723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UC1 multi-user - energy per useful MAC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XRT'!$N$2:$N$14</c:f>
              <c:numCache>
                <c:formatCode>General</c:formatCode>
                <c:ptCount val="13"/>
                <c:pt idx="0">
                  <c:v>2.9498000000000002</c:v>
                </c:pt>
                <c:pt idx="1">
                  <c:v>2.8210000000000002</c:v>
                </c:pt>
                <c:pt idx="3">
                  <c:v>3.0160999999999998</c:v>
                </c:pt>
                <c:pt idx="4">
                  <c:v>4.0909000000000004</c:v>
                </c:pt>
                <c:pt idx="7">
                  <c:v>5.6365999999999996</c:v>
                </c:pt>
                <c:pt idx="12">
                  <c:v>7.4801000000000002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C-49C5-BCE8-C61DEAA3F41C}"/>
            </c:ext>
          </c:extLst>
        </c:ser>
        <c:ser>
          <c:idx val="1"/>
          <c:order val="1"/>
          <c:tx>
            <c:v>Multi-tenant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XRT'!$O$2:$O$14</c:f>
              <c:numCache>
                <c:formatCode>General</c:formatCode>
                <c:ptCount val="13"/>
                <c:pt idx="2">
                  <c:v>2.0041000000000002</c:v>
                </c:pt>
                <c:pt idx="5">
                  <c:v>1.9026000000000001</c:v>
                </c:pt>
                <c:pt idx="6">
                  <c:v>2.5579000000000001</c:v>
                </c:pt>
                <c:pt idx="8">
                  <c:v>1.7641</c:v>
                </c:pt>
                <c:pt idx="9">
                  <c:v>3.0608</c:v>
                </c:pt>
                <c:pt idx="10">
                  <c:v>1.7023999999999999</c:v>
                </c:pt>
                <c:pt idx="11">
                  <c:v>2.4967999999999999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C-49C5-BCE8-C61DEAA3F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337293023"/>
        <c:axId val="378005007"/>
      </c:barChart>
      <c:catAx>
        <c:axId val="133729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78005007"/>
        <c:crosses val="autoZero"/>
        <c:auto val="1"/>
        <c:lblAlgn val="ctr"/>
        <c:lblOffset val="100"/>
        <c:noMultiLvlLbl val="0"/>
      </c:catAx>
      <c:valAx>
        <c:axId val="3780050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nJ per useful MAC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729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UC1 - throughput while computing vs delivered over the whole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Compute only - single engine</c:v>
          </c:tx>
          <c:spPr>
            <a:solidFill>
              <a:srgbClr val="AAC9EF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XRT'!$L$2:$L$14</c:f>
              <c:numCache>
                <c:formatCode>General</c:formatCode>
                <c:ptCount val="13"/>
                <c:pt idx="0">
                  <c:v>12.571999999999999</c:v>
                </c:pt>
                <c:pt idx="1">
                  <c:v>23.634</c:v>
                </c:pt>
                <c:pt idx="3">
                  <c:v>32.737000000000002</c:v>
                </c:pt>
                <c:pt idx="4">
                  <c:v>40.987000000000002</c:v>
                </c:pt>
                <c:pt idx="7">
                  <c:v>55.908999999999999</c:v>
                </c:pt>
                <c:pt idx="12">
                  <c:v>63.42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A-42C0-B66A-5B58FAD1B24B}"/>
            </c:ext>
          </c:extLst>
        </c:ser>
        <c:ser>
          <c:idx val="1"/>
          <c:order val="1"/>
          <c:tx>
            <c:v>Compute only - multi-tenant</c:v>
          </c:tx>
          <c:spPr>
            <a:solidFill>
              <a:srgbClr val="F7C3AE"/>
            </a:solidFill>
            <a:ln>
              <a:noFill/>
            </a:ln>
            <a:effectLst/>
          </c:spPr>
          <c:invertIfNegative val="0"/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XRT'!$M$2:$M$14</c:f>
              <c:numCache>
                <c:formatCode>General</c:formatCode>
                <c:ptCount val="13"/>
                <c:pt idx="2">
                  <c:v>24.498999999999999</c:v>
                </c:pt>
                <c:pt idx="5">
                  <c:v>37.789000000000001</c:v>
                </c:pt>
                <c:pt idx="6">
                  <c:v>44.542000000000002</c:v>
                </c:pt>
                <c:pt idx="8">
                  <c:v>45.628</c:v>
                </c:pt>
                <c:pt idx="9">
                  <c:v>62.697000000000003</c:v>
                </c:pt>
                <c:pt idx="10">
                  <c:v>50.029000000000003</c:v>
                </c:pt>
                <c:pt idx="11">
                  <c:v>66.566000000000003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A-42C0-B66A-5B58FAD1B24B}"/>
            </c:ext>
          </c:extLst>
        </c:ser>
        <c:ser>
          <c:idx val="2"/>
          <c:order val="2"/>
          <c:tx>
            <c:v>Delivered (whole pass) - 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XRT'!$J$2:$J$14</c:f>
              <c:numCache>
                <c:formatCode>General</c:formatCode>
                <c:ptCount val="13"/>
                <c:pt idx="0">
                  <c:v>9.1159999999999997</c:v>
                </c:pt>
                <c:pt idx="1">
                  <c:v>9.8710000000000004</c:v>
                </c:pt>
                <c:pt idx="3">
                  <c:v>9.4090000000000007</c:v>
                </c:pt>
                <c:pt idx="4">
                  <c:v>7.726</c:v>
                </c:pt>
                <c:pt idx="7">
                  <c:v>5.7859999999999996</c:v>
                </c:pt>
                <c:pt idx="12">
                  <c:v>4.5519999999999996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3A-42C0-B66A-5B58FAD1B24B}"/>
            </c:ext>
          </c:extLst>
        </c:ser>
        <c:ser>
          <c:idx val="3"/>
          <c:order val="3"/>
          <c:tx>
            <c:v>Delivered (whole pass) - multi-tenant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'UC1 XRT'!$A$2:$A$14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'UC1 XRT'!$K$2:$K$14</c:f>
              <c:numCache>
                <c:formatCode>General</c:formatCode>
                <c:ptCount val="13"/>
                <c:pt idx="2">
                  <c:v>14.664999999999999</c:v>
                </c:pt>
                <c:pt idx="5">
                  <c:v>17.738</c:v>
                </c:pt>
                <c:pt idx="6">
                  <c:v>13.151999999999999</c:v>
                </c:pt>
                <c:pt idx="8">
                  <c:v>20.478000000000002</c:v>
                </c:pt>
                <c:pt idx="9">
                  <c:v>11.349</c:v>
                </c:pt>
                <c:pt idx="10">
                  <c:v>21.716999999999999</c:v>
                </c:pt>
                <c:pt idx="11">
                  <c:v>14.565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3A-42C0-B66A-5B58FAD1B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448445135"/>
        <c:axId val="1691099439"/>
      </c:barChart>
      <c:catAx>
        <c:axId val="44844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91099439"/>
        <c:crosses val="autoZero"/>
        <c:auto val="1"/>
        <c:lblAlgn val="ctr"/>
        <c:lblOffset val="100"/>
        <c:noMultiLvlLbl val="0"/>
      </c:catAx>
      <c:valAx>
        <c:axId val="16910994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GMAC/s (useful MACs)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44844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4" name="Q1">
          <a:extLst>
            <a:ext uri="{FF2B5EF4-FFF2-40B4-BE49-F238E27FC236}">
              <a16:creationId xmlns:a16="http://schemas.microsoft.com/office/drawing/2014/main" id="{F249DBC2-F978-C406-10CB-499D9B082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5" name="Q2">
          <a:extLst>
            <a:ext uri="{FF2B5EF4-FFF2-40B4-BE49-F238E27FC236}">
              <a16:creationId xmlns:a16="http://schemas.microsoft.com/office/drawing/2014/main" id="{3EC93A24-CE35-2D9E-F9D0-F86D1A4E0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6" name="Q3">
          <a:extLst>
            <a:ext uri="{FF2B5EF4-FFF2-40B4-BE49-F238E27FC236}">
              <a16:creationId xmlns:a16="http://schemas.microsoft.com/office/drawing/2014/main" id="{32FC0440-62FB-DCB6-BA9E-BC12376FC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7" name="Q4">
          <a:extLst>
            <a:ext uri="{FF2B5EF4-FFF2-40B4-BE49-F238E27FC236}">
              <a16:creationId xmlns:a16="http://schemas.microsoft.com/office/drawing/2014/main" id="{AB29559D-AC84-D577-9963-6909AB39E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114</xdr:row>
      <xdr:rowOff>0</xdr:rowOff>
    </xdr:from>
    <xdr:to>
      <xdr:col>9</xdr:col>
      <xdr:colOff>76200</xdr:colOff>
      <xdr:row>132</xdr:row>
      <xdr:rowOff>114300</xdr:rowOff>
    </xdr:to>
    <xdr:graphicFrame macro="">
      <xdr:nvGraphicFramePr>
        <xdr:cNvPr id="8" name="Q5">
          <a:extLst>
            <a:ext uri="{FF2B5EF4-FFF2-40B4-BE49-F238E27FC236}">
              <a16:creationId xmlns:a16="http://schemas.microsoft.com/office/drawing/2014/main" id="{6007F129-34FA-3B25-A05F-E16EFA97C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114</xdr:row>
      <xdr:rowOff>0</xdr:rowOff>
    </xdr:from>
    <xdr:to>
      <xdr:col>18</xdr:col>
      <xdr:colOff>76200</xdr:colOff>
      <xdr:row>132</xdr:row>
      <xdr:rowOff>114300</xdr:rowOff>
    </xdr:to>
    <xdr:graphicFrame macro="">
      <xdr:nvGraphicFramePr>
        <xdr:cNvPr id="9" name="Q6">
          <a:extLst>
            <a:ext uri="{FF2B5EF4-FFF2-40B4-BE49-F238E27FC236}">
              <a16:creationId xmlns:a16="http://schemas.microsoft.com/office/drawing/2014/main" id="{1685C9A1-227A-21B1-313D-D368570D2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138</xdr:row>
      <xdr:rowOff>0</xdr:rowOff>
    </xdr:from>
    <xdr:to>
      <xdr:col>9</xdr:col>
      <xdr:colOff>76200</xdr:colOff>
      <xdr:row>156</xdr:row>
      <xdr:rowOff>114300</xdr:rowOff>
    </xdr:to>
    <xdr:graphicFrame macro="">
      <xdr:nvGraphicFramePr>
        <xdr:cNvPr id="10" name="Q7">
          <a:extLst>
            <a:ext uri="{FF2B5EF4-FFF2-40B4-BE49-F238E27FC236}">
              <a16:creationId xmlns:a16="http://schemas.microsoft.com/office/drawing/2014/main" id="{651CAD9B-4880-7F1E-8E75-28E5F5EF9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138</xdr:row>
      <xdr:rowOff>0</xdr:rowOff>
    </xdr:from>
    <xdr:to>
      <xdr:col>18</xdr:col>
      <xdr:colOff>76200</xdr:colOff>
      <xdr:row>156</xdr:row>
      <xdr:rowOff>114300</xdr:rowOff>
    </xdr:to>
    <xdr:graphicFrame macro="">
      <xdr:nvGraphicFramePr>
        <xdr:cNvPr id="11" name="Q8">
          <a:extLst>
            <a:ext uri="{FF2B5EF4-FFF2-40B4-BE49-F238E27FC236}">
              <a16:creationId xmlns:a16="http://schemas.microsoft.com/office/drawing/2014/main" id="{4759A0ED-3B74-F3E5-007C-3331338C5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162</xdr:row>
      <xdr:rowOff>0</xdr:rowOff>
    </xdr:from>
    <xdr:to>
      <xdr:col>9</xdr:col>
      <xdr:colOff>76200</xdr:colOff>
      <xdr:row>180</xdr:row>
      <xdr:rowOff>114300</xdr:rowOff>
    </xdr:to>
    <xdr:graphicFrame macro="">
      <xdr:nvGraphicFramePr>
        <xdr:cNvPr id="12" name="Q9">
          <a:extLst>
            <a:ext uri="{FF2B5EF4-FFF2-40B4-BE49-F238E27FC236}">
              <a16:creationId xmlns:a16="http://schemas.microsoft.com/office/drawing/2014/main" id="{ABDBFC41-2ED8-D4F7-7479-66F7CBED7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162</xdr:row>
      <xdr:rowOff>0</xdr:rowOff>
    </xdr:from>
    <xdr:to>
      <xdr:col>18</xdr:col>
      <xdr:colOff>76200</xdr:colOff>
      <xdr:row>180</xdr:row>
      <xdr:rowOff>114300</xdr:rowOff>
    </xdr:to>
    <xdr:graphicFrame macro="">
      <xdr:nvGraphicFramePr>
        <xdr:cNvPr id="13" name="Q10">
          <a:extLst>
            <a:ext uri="{FF2B5EF4-FFF2-40B4-BE49-F238E27FC236}">
              <a16:creationId xmlns:a16="http://schemas.microsoft.com/office/drawing/2014/main" id="{8E5AC4BD-7389-AFA6-5107-A7B915834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186</xdr:row>
      <xdr:rowOff>0</xdr:rowOff>
    </xdr:from>
    <xdr:to>
      <xdr:col>16</xdr:col>
      <xdr:colOff>381000</xdr:colOff>
      <xdr:row>210</xdr:row>
      <xdr:rowOff>152400</xdr:rowOff>
    </xdr:to>
    <xdr:graphicFrame macro="">
      <xdr:nvGraphicFramePr>
        <xdr:cNvPr id="14" name="Q11">
          <a:extLst>
            <a:ext uri="{FF2B5EF4-FFF2-40B4-BE49-F238E27FC236}">
              <a16:creationId xmlns:a16="http://schemas.microsoft.com/office/drawing/2014/main" id="{1DA7E225-63B8-491B-DDEE-3DEDD8EE2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2" name="U1">
          <a:extLst>
            <a:ext uri="{FF2B5EF4-FFF2-40B4-BE49-F238E27FC236}">
              <a16:creationId xmlns:a16="http://schemas.microsoft.com/office/drawing/2014/main" id="{17975C9E-4F82-60D8-848D-43F72C3FB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3" name="U2">
          <a:extLst>
            <a:ext uri="{FF2B5EF4-FFF2-40B4-BE49-F238E27FC236}">
              <a16:creationId xmlns:a16="http://schemas.microsoft.com/office/drawing/2014/main" id="{A57E7B7F-769A-CD33-056F-B3EB40542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4" name="U3">
          <a:extLst>
            <a:ext uri="{FF2B5EF4-FFF2-40B4-BE49-F238E27FC236}">
              <a16:creationId xmlns:a16="http://schemas.microsoft.com/office/drawing/2014/main" id="{B869EFE8-8F5D-5F07-5A77-9F53FFD9D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5" name="U4">
          <a:extLst>
            <a:ext uri="{FF2B5EF4-FFF2-40B4-BE49-F238E27FC236}">
              <a16:creationId xmlns:a16="http://schemas.microsoft.com/office/drawing/2014/main" id="{0471920B-CCC3-9577-1BC6-9B4A95A6E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114</xdr:row>
      <xdr:rowOff>0</xdr:rowOff>
    </xdr:from>
    <xdr:to>
      <xdr:col>16</xdr:col>
      <xdr:colOff>381000</xdr:colOff>
      <xdr:row>138</xdr:row>
      <xdr:rowOff>152400</xdr:rowOff>
    </xdr:to>
    <xdr:graphicFrame macro="">
      <xdr:nvGraphicFramePr>
        <xdr:cNvPr id="6" name="U5">
          <a:extLst>
            <a:ext uri="{FF2B5EF4-FFF2-40B4-BE49-F238E27FC236}">
              <a16:creationId xmlns:a16="http://schemas.microsoft.com/office/drawing/2014/main" id="{6F24EF75-135C-A110-95A6-B49724F60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044B9C-E51C-4400-9FED-1E97171062A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f6049cf-b738-4873-9eae-fa497bcd81a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4" workbookViewId="0"/>
  </sheetViews>
  <sheetFormatPr defaultRowHeight="14.5" x14ac:dyDescent="0.35"/>
  <sheetData>
    <row r="1" spans="1:1" ht="15.5" x14ac:dyDescent="0.35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03" zoomScale="73" workbookViewId="0">
      <selection activeCell="N145" sqref="N145"/>
    </sheetView>
  </sheetViews>
  <sheetFormatPr defaultRowHeight="14.5" x14ac:dyDescent="0.35"/>
  <sheetData>
    <row r="1" spans="1:1" ht="15.5" x14ac:dyDescent="0.35">
      <c r="A1" s="1" t="s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M23"/>
  <sheetViews>
    <sheetView workbookViewId="0">
      <pane ySplit="1" topLeftCell="A2" activePane="bottomLeft" state="frozen"/>
      <selection pane="bottomLeft" activeCell="B27" sqref="B27"/>
    </sheetView>
  </sheetViews>
  <sheetFormatPr defaultRowHeight="14.5" x14ac:dyDescent="0.35"/>
  <cols>
    <col min="1" max="1" width="25" customWidth="1"/>
    <col min="2" max="2" width="27" customWidth="1"/>
    <col min="3" max="3" width="18" customWidth="1"/>
    <col min="4" max="4" width="20" customWidth="1"/>
    <col min="5" max="5" width="17" customWidth="1"/>
    <col min="6" max="6" width="19" customWidth="1"/>
    <col min="7" max="7" width="18" customWidth="1"/>
    <col min="8" max="8" width="20" customWidth="1"/>
    <col min="9" max="9" width="17" customWidth="1"/>
    <col min="10" max="10" width="19" customWidth="1"/>
    <col min="11" max="11" width="18" customWidth="1"/>
    <col min="12" max="12" width="19" customWidth="1"/>
    <col min="13" max="13" width="17" customWidth="1"/>
    <col min="14" max="15" width="18" customWidth="1"/>
    <col min="16" max="16" width="19" customWidth="1"/>
    <col min="17" max="17" width="17" customWidth="1"/>
    <col min="18" max="18" width="18" customWidth="1"/>
    <col min="19" max="19" width="17" customWidth="1"/>
    <col min="20" max="20" width="16" customWidth="1"/>
    <col min="21" max="21" width="17" customWidth="1"/>
    <col min="22" max="22" width="16" customWidth="1"/>
    <col min="23" max="23" width="17" customWidth="1"/>
    <col min="24" max="24" width="16" customWidth="1"/>
    <col min="25" max="25" width="17" customWidth="1"/>
    <col min="26" max="26" width="16" customWidth="1"/>
    <col min="27" max="27" width="15" customWidth="1"/>
    <col min="28" max="28" width="14" customWidth="1"/>
    <col min="29" max="29" width="15" customWidth="1"/>
    <col min="30" max="30" width="14" customWidth="1"/>
    <col min="31" max="31" width="24" customWidth="1"/>
    <col min="32" max="32" width="23" customWidth="1"/>
    <col min="33" max="33" width="24" customWidth="1"/>
    <col min="34" max="34" width="23" customWidth="1"/>
    <col min="35" max="35" width="19" customWidth="1"/>
    <col min="36" max="36" width="18" customWidth="1"/>
    <col min="37" max="37" width="19" customWidth="1"/>
    <col min="38" max="38" width="18" customWidth="1"/>
    <col min="39" max="39" width="15" customWidth="1"/>
    <col min="40" max="40" width="14" customWidth="1"/>
    <col min="41" max="41" width="15" customWidth="1"/>
    <col min="42" max="42" width="14" customWidth="1"/>
    <col min="43" max="43" width="23" customWidth="1"/>
    <col min="44" max="44" width="22" customWidth="1"/>
    <col min="45" max="45" width="23" customWidth="1"/>
    <col min="46" max="46" width="22" customWidth="1"/>
    <col min="47" max="47" width="30" customWidth="1"/>
    <col min="48" max="48" width="14" customWidth="1"/>
    <col min="49" max="49" width="10" customWidth="1"/>
    <col min="50" max="50" width="14" customWidth="1"/>
    <col min="51" max="51" width="11" customWidth="1"/>
    <col min="52" max="52" width="13" customWidth="1"/>
    <col min="53" max="53" width="10" customWidth="1"/>
    <col min="54" max="54" width="12" customWidth="1"/>
    <col min="55" max="55" width="10" customWidth="1"/>
    <col min="56" max="56" width="30" customWidth="1"/>
    <col min="57" max="57" width="23" customWidth="1"/>
    <col min="58" max="58" width="13" customWidth="1"/>
    <col min="59" max="59" width="16" customWidth="1"/>
    <col min="60" max="60" width="18" customWidth="1"/>
    <col min="61" max="61" width="14" customWidth="1"/>
    <col min="62" max="62" width="11" customWidth="1"/>
    <col min="63" max="63" width="21" customWidth="1"/>
    <col min="64" max="65" width="10" customWidth="1"/>
    <col min="66" max="66" width="13" customWidth="1"/>
    <col min="67" max="67" width="14" customWidth="1"/>
    <col min="68" max="69" width="10" customWidth="1"/>
    <col min="70" max="72" width="14" customWidth="1"/>
    <col min="73" max="73" width="11" customWidth="1"/>
    <col min="74" max="74" width="17" customWidth="1"/>
    <col min="75" max="75" width="11" customWidth="1"/>
    <col min="76" max="77" width="12" customWidth="1"/>
    <col min="78" max="78" width="16" customWidth="1"/>
    <col min="79" max="79" width="17" customWidth="1"/>
    <col min="80" max="80" width="14" customWidth="1"/>
    <col min="81" max="81" width="13" customWidth="1"/>
    <col min="82" max="83" width="10" customWidth="1"/>
    <col min="84" max="84" width="16" customWidth="1"/>
    <col min="85" max="86" width="13" customWidth="1"/>
    <col min="87" max="88" width="21" customWidth="1"/>
    <col min="89" max="89" width="18" customWidth="1"/>
    <col min="90" max="90" width="15" customWidth="1"/>
    <col min="91" max="91" width="21" customWidth="1"/>
    <col min="92" max="92" width="18" customWidth="1"/>
    <col min="93" max="93" width="30" customWidth="1"/>
    <col min="94" max="94" width="22" customWidth="1"/>
    <col min="95" max="95" width="16" customWidth="1"/>
    <col min="96" max="96" width="18" customWidth="1"/>
    <col min="97" max="98" width="17" customWidth="1"/>
    <col min="99" max="100" width="30" customWidth="1"/>
  </cols>
  <sheetData>
    <row r="1" spans="1:117" ht="30" customHeight="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239</v>
      </c>
      <c r="CX1" s="2" t="s">
        <v>240</v>
      </c>
      <c r="CY1" s="2" t="s">
        <v>241</v>
      </c>
      <c r="CZ1" s="2" t="s">
        <v>242</v>
      </c>
      <c r="DA1" s="2" t="s">
        <v>243</v>
      </c>
      <c r="DB1" s="2" t="s">
        <v>244</v>
      </c>
      <c r="DC1" s="2" t="s">
        <v>245</v>
      </c>
      <c r="DD1" s="2" t="s">
        <v>246</v>
      </c>
      <c r="DE1" s="2" t="s">
        <v>247</v>
      </c>
      <c r="DF1" s="2" t="s">
        <v>248</v>
      </c>
      <c r="DG1" s="2" t="s">
        <v>249</v>
      </c>
      <c r="DH1" s="2" t="s">
        <v>250</v>
      </c>
      <c r="DI1" s="2" t="s">
        <v>251</v>
      </c>
      <c r="DJ1" s="2" t="s">
        <v>252</v>
      </c>
      <c r="DK1" s="2" t="s">
        <v>253</v>
      </c>
      <c r="DL1" s="2" t="s">
        <v>254</v>
      </c>
      <c r="DM1" s="2" t="s">
        <v>255</v>
      </c>
    </row>
    <row r="2" spans="1:117" x14ac:dyDescent="0.35">
      <c r="A2" s="3" t="s">
        <v>102</v>
      </c>
      <c r="B2" s="3" t="s">
        <v>103</v>
      </c>
      <c r="C2" s="3">
        <v>14.086</v>
      </c>
      <c r="D2" s="3">
        <v>1.637</v>
      </c>
      <c r="K2" s="3">
        <v>398.75</v>
      </c>
      <c r="L2" s="3">
        <v>63.534999999999997</v>
      </c>
      <c r="S2" s="3">
        <v>15.723000000000001</v>
      </c>
      <c r="W2" s="3">
        <v>63.6</v>
      </c>
      <c r="AA2" s="3">
        <v>11.254</v>
      </c>
      <c r="AE2" s="3">
        <v>462.28500000000003</v>
      </c>
      <c r="AI2" s="3">
        <v>2.6126</v>
      </c>
      <c r="AM2" s="3">
        <v>25.361000000000001</v>
      </c>
      <c r="AQ2" s="3">
        <v>0.23300000000000001</v>
      </c>
      <c r="AU2" s="3" t="s">
        <v>104</v>
      </c>
      <c r="AV2" s="3" t="s">
        <v>105</v>
      </c>
      <c r="AW2" s="3">
        <v>1</v>
      </c>
      <c r="AX2" s="3">
        <v>6</v>
      </c>
      <c r="AY2" s="3">
        <v>400</v>
      </c>
      <c r="AZ2" s="3">
        <v>16</v>
      </c>
      <c r="BA2" s="3">
        <v>40</v>
      </c>
      <c r="BB2" s="4">
        <v>9216</v>
      </c>
      <c r="BC2" s="4">
        <v>2048</v>
      </c>
      <c r="BD2" s="3" t="s">
        <v>106</v>
      </c>
      <c r="BE2" s="4">
        <v>176947200</v>
      </c>
      <c r="BF2" s="3">
        <v>0</v>
      </c>
      <c r="BG2" s="3">
        <v>98.55</v>
      </c>
      <c r="BH2" s="3" t="s">
        <v>102</v>
      </c>
      <c r="BI2" s="3">
        <v>13881.6</v>
      </c>
      <c r="BJ2" s="3">
        <v>14085.8</v>
      </c>
      <c r="BK2" s="3">
        <v>15365.3</v>
      </c>
      <c r="BL2" s="3">
        <v>15722.6</v>
      </c>
      <c r="BM2" s="3">
        <v>393.07</v>
      </c>
      <c r="BN2" s="3">
        <v>1636.8</v>
      </c>
      <c r="BO2" s="3">
        <v>10.41</v>
      </c>
      <c r="BP2" s="3">
        <v>11.254</v>
      </c>
      <c r="BQ2" s="3">
        <v>22.509</v>
      </c>
      <c r="BR2" s="3">
        <v>63.6</v>
      </c>
      <c r="BS2" s="3">
        <v>29.4025</v>
      </c>
      <c r="BT2" s="3">
        <v>25.361499999999999</v>
      </c>
      <c r="BU2" s="3">
        <v>4.0410000000000004</v>
      </c>
      <c r="BV2" s="3">
        <v>462.28500000000003</v>
      </c>
      <c r="BW2" s="3">
        <v>398.75</v>
      </c>
      <c r="BX2" s="3">
        <v>63.534999999999997</v>
      </c>
      <c r="BY2" s="3">
        <v>2.6126</v>
      </c>
      <c r="BZ2" s="3">
        <v>1</v>
      </c>
      <c r="CA2" s="3">
        <v>1</v>
      </c>
      <c r="CB2" s="3">
        <v>3</v>
      </c>
      <c r="CC2" s="4">
        <v>7633</v>
      </c>
      <c r="CD2" s="3">
        <v>120.01</v>
      </c>
      <c r="CE2" s="3">
        <v>96</v>
      </c>
      <c r="CF2" s="3">
        <v>0.23300000000000001</v>
      </c>
      <c r="CG2" s="3">
        <v>0.85899999999999999</v>
      </c>
      <c r="CH2" s="3">
        <v>1.321</v>
      </c>
      <c r="CI2" s="3">
        <v>2.4500000000000001E-2</v>
      </c>
      <c r="CJ2" s="3">
        <v>100</v>
      </c>
      <c r="CK2" s="3" t="s">
        <v>105</v>
      </c>
      <c r="CL2" s="3">
        <v>15952.5</v>
      </c>
      <c r="CM2" s="3">
        <v>16103.2</v>
      </c>
      <c r="CN2" s="3">
        <v>2.0099999999999998</v>
      </c>
      <c r="CO2" s="3" t="s">
        <v>107</v>
      </c>
      <c r="CP2" s="3" t="s">
        <v>256</v>
      </c>
      <c r="CQ2" s="3">
        <v>1.06</v>
      </c>
      <c r="CR2" s="3">
        <v>2.36</v>
      </c>
      <c r="CS2" s="3">
        <v>3.41</v>
      </c>
      <c r="CT2" s="3">
        <v>0</v>
      </c>
      <c r="CU2" s="3" t="s">
        <v>257</v>
      </c>
      <c r="CV2" s="3" t="s">
        <v>258</v>
      </c>
      <c r="CW2" s="3">
        <v>2</v>
      </c>
      <c r="CX2" s="3">
        <v>15.699</v>
      </c>
      <c r="CY2" s="3">
        <v>15.746</v>
      </c>
      <c r="CZ2" s="3">
        <v>2.4E-2</v>
      </c>
      <c r="DA2" s="3">
        <v>63.51</v>
      </c>
      <c r="DB2" s="3">
        <v>63.7</v>
      </c>
      <c r="DC2" s="3">
        <v>0.1</v>
      </c>
      <c r="DD2" s="3">
        <v>461.15199999999999</v>
      </c>
      <c r="DE2" s="3">
        <v>463.41300000000001</v>
      </c>
      <c r="DF2" s="3">
        <v>1.1299999999999999</v>
      </c>
      <c r="DG2" s="3">
        <v>2.6061999999999999</v>
      </c>
      <c r="DH2" s="3">
        <v>2.6189</v>
      </c>
      <c r="DI2" s="3">
        <v>6.4000000000000003E-3</v>
      </c>
      <c r="DJ2" s="3">
        <v>3.948</v>
      </c>
      <c r="DK2" s="3">
        <v>4.1340000000000003</v>
      </c>
      <c r="DL2" s="3">
        <v>25.338000000000001</v>
      </c>
      <c r="DM2" s="3">
        <v>25.385000000000002</v>
      </c>
    </row>
    <row r="3" spans="1:117" x14ac:dyDescent="0.35">
      <c r="A3" s="3" t="s">
        <v>108</v>
      </c>
      <c r="B3" s="3" t="s">
        <v>103</v>
      </c>
      <c r="C3" s="3">
        <v>7.4930000000000003</v>
      </c>
      <c r="D3" s="3">
        <v>3.407</v>
      </c>
      <c r="K3" s="3">
        <v>287.40300000000002</v>
      </c>
      <c r="L3" s="3">
        <v>58.457000000000001</v>
      </c>
      <c r="S3" s="3">
        <v>10.9</v>
      </c>
      <c r="W3" s="3">
        <v>91.74</v>
      </c>
      <c r="AA3" s="3">
        <v>16.234000000000002</v>
      </c>
      <c r="AE3" s="3">
        <v>345.86</v>
      </c>
      <c r="AI3" s="3">
        <v>1.9545999999999999</v>
      </c>
      <c r="AM3" s="3">
        <v>26.367000000000001</v>
      </c>
      <c r="AQ3" s="3">
        <v>0.23699999999999999</v>
      </c>
      <c r="AU3" s="3" t="s">
        <v>104</v>
      </c>
      <c r="AV3" s="3" t="s">
        <v>109</v>
      </c>
      <c r="AW3" s="3">
        <v>1</v>
      </c>
      <c r="AX3" s="3">
        <v>10</v>
      </c>
      <c r="AY3" s="3">
        <v>375</v>
      </c>
      <c r="AZ3" s="3">
        <v>32</v>
      </c>
      <c r="BA3" s="3">
        <v>40</v>
      </c>
      <c r="BB3" s="4">
        <v>9216</v>
      </c>
      <c r="BC3" s="4">
        <v>2048</v>
      </c>
      <c r="BD3" s="3" t="s">
        <v>106</v>
      </c>
      <c r="BE3" s="4">
        <v>176947200</v>
      </c>
      <c r="BF3" s="3">
        <v>0</v>
      </c>
      <c r="BG3" s="3">
        <v>98.81</v>
      </c>
      <c r="BH3" s="3" t="s">
        <v>108</v>
      </c>
      <c r="BI3" s="3">
        <v>7403.5</v>
      </c>
      <c r="BJ3" s="3">
        <v>7492.7</v>
      </c>
      <c r="BK3" s="3">
        <v>10136.5</v>
      </c>
      <c r="BL3" s="3">
        <v>10900.1</v>
      </c>
      <c r="BM3" s="3">
        <v>272.5</v>
      </c>
      <c r="BN3" s="3">
        <v>3407.4</v>
      </c>
      <c r="BO3" s="3">
        <v>31.26</v>
      </c>
      <c r="BP3" s="3">
        <v>16.234000000000002</v>
      </c>
      <c r="BQ3" s="3">
        <v>32.466999999999999</v>
      </c>
      <c r="BR3" s="3">
        <v>91.74</v>
      </c>
      <c r="BS3" s="3">
        <v>31.73</v>
      </c>
      <c r="BT3" s="3">
        <v>26.367000000000001</v>
      </c>
      <c r="BU3" s="3">
        <v>5.3630000000000004</v>
      </c>
      <c r="BV3" s="3">
        <v>345.86</v>
      </c>
      <c r="BW3" s="3">
        <v>287.40300000000002</v>
      </c>
      <c r="BX3" s="3">
        <v>58.457000000000001</v>
      </c>
      <c r="BY3" s="3">
        <v>1.9545999999999999</v>
      </c>
      <c r="BZ3" s="3">
        <v>1</v>
      </c>
      <c r="CA3" s="3">
        <v>1</v>
      </c>
      <c r="CB3" s="3">
        <v>3</v>
      </c>
      <c r="CC3" s="4">
        <v>11010</v>
      </c>
      <c r="CD3" s="3">
        <v>120.02</v>
      </c>
      <c r="CE3" s="3">
        <v>192</v>
      </c>
      <c r="CF3" s="3">
        <v>0.23699999999999999</v>
      </c>
      <c r="CG3" s="3">
        <v>0.90800000000000003</v>
      </c>
      <c r="CH3" s="3">
        <v>1.907</v>
      </c>
      <c r="CI3" s="3">
        <v>3.0099999999999998E-2</v>
      </c>
      <c r="CJ3" s="3">
        <v>100</v>
      </c>
      <c r="CK3" s="3" t="s">
        <v>109</v>
      </c>
      <c r="CL3" s="3">
        <v>11103.1</v>
      </c>
      <c r="CM3" s="3">
        <v>11299.2</v>
      </c>
      <c r="CN3" s="3">
        <v>2.89</v>
      </c>
      <c r="CO3" s="3" t="s">
        <v>107</v>
      </c>
      <c r="CP3" s="3" t="s">
        <v>256</v>
      </c>
      <c r="CQ3" s="3">
        <v>2.65</v>
      </c>
      <c r="CR3" s="3">
        <v>3.02</v>
      </c>
      <c r="CS3" s="3">
        <v>3.43</v>
      </c>
      <c r="CT3" s="3">
        <v>0</v>
      </c>
      <c r="CU3" s="3" t="s">
        <v>259</v>
      </c>
      <c r="CV3" s="3" t="s">
        <v>258</v>
      </c>
      <c r="CW3" s="3">
        <v>2</v>
      </c>
      <c r="CX3" s="3">
        <v>10.88</v>
      </c>
      <c r="CY3" s="3">
        <v>10.92</v>
      </c>
      <c r="CZ3" s="3">
        <v>0.02</v>
      </c>
      <c r="DA3" s="3">
        <v>91.58</v>
      </c>
      <c r="DB3" s="3">
        <v>91.91</v>
      </c>
      <c r="DC3" s="3">
        <v>0.17</v>
      </c>
      <c r="DD3" s="3">
        <v>343.73700000000002</v>
      </c>
      <c r="DE3" s="3">
        <v>347.97399999999999</v>
      </c>
      <c r="DF3" s="3">
        <v>2.1190000000000002</v>
      </c>
      <c r="DG3" s="3">
        <v>1.9426000000000001</v>
      </c>
      <c r="DH3" s="3">
        <v>1.9664999999999999</v>
      </c>
      <c r="DI3" s="3">
        <v>1.2E-2</v>
      </c>
      <c r="DJ3" s="3">
        <v>5.18</v>
      </c>
      <c r="DK3" s="3">
        <v>5.5460000000000003</v>
      </c>
      <c r="DL3" s="3">
        <v>26.297999999999998</v>
      </c>
      <c r="DM3" s="3">
        <v>26.436</v>
      </c>
    </row>
    <row r="4" spans="1:117" x14ac:dyDescent="0.35">
      <c r="A4" s="3" t="s">
        <v>110</v>
      </c>
      <c r="B4" s="3" t="s">
        <v>103</v>
      </c>
      <c r="E4" s="3">
        <v>7.1079999999999997</v>
      </c>
      <c r="F4" s="3">
        <v>3.879</v>
      </c>
      <c r="M4" s="3">
        <v>293.25400000000002</v>
      </c>
      <c r="N4" s="3">
        <v>62.06</v>
      </c>
      <c r="T4" s="3">
        <v>10.987</v>
      </c>
      <c r="X4" s="3">
        <v>91.02</v>
      </c>
      <c r="AB4" s="3">
        <v>16.105</v>
      </c>
      <c r="AF4" s="3">
        <v>355.31400000000002</v>
      </c>
      <c r="AJ4" s="3">
        <v>2.008</v>
      </c>
      <c r="AN4" s="3">
        <v>26.690999999999999</v>
      </c>
      <c r="AR4" s="3">
        <v>0.23699999999999999</v>
      </c>
      <c r="AU4" s="3" t="s">
        <v>111</v>
      </c>
      <c r="AV4" s="3" t="s">
        <v>105</v>
      </c>
      <c r="AW4" s="3">
        <v>2</v>
      </c>
      <c r="AX4" s="3">
        <v>12</v>
      </c>
      <c r="AY4" s="3">
        <v>394</v>
      </c>
      <c r="AZ4" s="3">
        <v>32</v>
      </c>
      <c r="BA4" s="3">
        <v>40</v>
      </c>
      <c r="BB4" s="4">
        <v>9216</v>
      </c>
      <c r="BC4" s="4">
        <v>2048</v>
      </c>
      <c r="BD4" s="3" t="s">
        <v>112</v>
      </c>
      <c r="BE4" s="4">
        <v>176947200</v>
      </c>
      <c r="BF4" s="3">
        <v>0</v>
      </c>
      <c r="BG4" s="3">
        <v>99.13</v>
      </c>
      <c r="BH4" s="3" t="s">
        <v>110</v>
      </c>
      <c r="BI4" s="3">
        <v>7046.5</v>
      </c>
      <c r="BJ4" s="3">
        <v>7108.3</v>
      </c>
      <c r="BK4" s="3">
        <v>10310.1</v>
      </c>
      <c r="BL4" s="4">
        <v>10987</v>
      </c>
      <c r="BM4" s="3">
        <v>274.68</v>
      </c>
      <c r="BN4" s="3">
        <v>3878.7</v>
      </c>
      <c r="BO4" s="3">
        <v>35.299999999999997</v>
      </c>
      <c r="BP4" s="3">
        <v>16.105</v>
      </c>
      <c r="BQ4" s="3">
        <v>32.21</v>
      </c>
      <c r="BR4" s="3">
        <v>91.02</v>
      </c>
      <c r="BS4" s="3">
        <v>32.339500000000001</v>
      </c>
      <c r="BT4" s="3">
        <v>26.690999999999999</v>
      </c>
      <c r="BU4" s="3">
        <v>5.649</v>
      </c>
      <c r="BV4" s="3">
        <v>355.31400000000002</v>
      </c>
      <c r="BW4" s="3">
        <v>293.25400000000002</v>
      </c>
      <c r="BX4" s="3">
        <v>62.06</v>
      </c>
      <c r="BY4" s="3">
        <v>2.008</v>
      </c>
      <c r="BZ4" s="3">
        <v>0.99990000000000001</v>
      </c>
      <c r="CA4" s="3">
        <v>1</v>
      </c>
      <c r="CB4" s="3">
        <v>3</v>
      </c>
      <c r="CC4" s="4">
        <v>10923</v>
      </c>
      <c r="CD4" s="3">
        <v>120.01</v>
      </c>
      <c r="CE4" s="3">
        <v>176</v>
      </c>
      <c r="CF4" s="3">
        <v>0.23699999999999999</v>
      </c>
      <c r="CG4" s="3">
        <v>0.94799999999999995</v>
      </c>
      <c r="CH4" s="3">
        <v>1.8280000000000001</v>
      </c>
      <c r="CI4" s="3">
        <v>8.2000000000000007E-3</v>
      </c>
      <c r="CJ4" s="3">
        <v>100</v>
      </c>
      <c r="CK4" s="3" t="s">
        <v>113</v>
      </c>
      <c r="CL4" s="3">
        <v>11103.2</v>
      </c>
      <c r="CM4" s="3">
        <v>11296.7</v>
      </c>
      <c r="CN4" s="3">
        <v>3.72</v>
      </c>
      <c r="CO4" s="3" t="s">
        <v>107</v>
      </c>
      <c r="CP4" s="3" t="s">
        <v>256</v>
      </c>
      <c r="CQ4" s="3">
        <v>2.84</v>
      </c>
      <c r="CR4" s="3">
        <v>3.51</v>
      </c>
      <c r="CS4" s="3">
        <v>4.59</v>
      </c>
      <c r="CT4" s="3">
        <v>0</v>
      </c>
      <c r="CU4" s="3" t="s">
        <v>260</v>
      </c>
      <c r="CV4" s="3" t="s">
        <v>258</v>
      </c>
      <c r="CW4" s="3">
        <v>2</v>
      </c>
      <c r="CX4" s="3">
        <v>10.923999999999999</v>
      </c>
      <c r="CY4" s="3">
        <v>11.05</v>
      </c>
      <c r="CZ4" s="3">
        <v>6.3E-2</v>
      </c>
      <c r="DA4" s="3">
        <v>90.5</v>
      </c>
      <c r="DB4" s="3">
        <v>91.54</v>
      </c>
      <c r="DC4" s="3">
        <v>0.52</v>
      </c>
      <c r="DD4" s="3">
        <v>352.21499999999997</v>
      </c>
      <c r="DE4" s="3">
        <v>358.42599999999999</v>
      </c>
      <c r="DF4" s="3">
        <v>3.105</v>
      </c>
      <c r="DG4" s="3">
        <v>1.9904999999999999</v>
      </c>
      <c r="DH4" s="3">
        <v>2.0255999999999998</v>
      </c>
      <c r="DI4" s="3">
        <v>1.7500000000000002E-2</v>
      </c>
      <c r="DJ4" s="3">
        <v>5.5579999999999998</v>
      </c>
      <c r="DK4" s="3">
        <v>5.7389999999999999</v>
      </c>
      <c r="DL4" s="3">
        <v>26.684000000000001</v>
      </c>
      <c r="DM4" s="3">
        <v>26.698</v>
      </c>
    </row>
    <row r="5" spans="1:117" x14ac:dyDescent="0.35">
      <c r="A5" s="3" t="s">
        <v>114</v>
      </c>
      <c r="B5" s="3" t="s">
        <v>103</v>
      </c>
      <c r="C5" s="3">
        <v>5.3680000000000003</v>
      </c>
      <c r="D5" s="3">
        <v>4.5190000000000001</v>
      </c>
      <c r="K5" s="3">
        <v>268.58800000000002</v>
      </c>
      <c r="L5" s="3">
        <v>58.619</v>
      </c>
      <c r="S5" s="3">
        <v>9.8870000000000005</v>
      </c>
      <c r="W5" s="3">
        <v>101.15</v>
      </c>
      <c r="AA5" s="3">
        <v>17.896999999999998</v>
      </c>
      <c r="AE5" s="3">
        <v>327.20699999999999</v>
      </c>
      <c r="AI5" s="3">
        <v>1.8492</v>
      </c>
      <c r="AM5" s="3">
        <v>27.166</v>
      </c>
      <c r="AQ5" s="3">
        <v>0.26200000000000001</v>
      </c>
      <c r="AU5" s="3" t="s">
        <v>104</v>
      </c>
      <c r="AV5" s="3" t="s">
        <v>115</v>
      </c>
      <c r="AW5" s="3">
        <v>1</v>
      </c>
      <c r="AX5" s="3">
        <v>13</v>
      </c>
      <c r="AY5" s="3">
        <v>350</v>
      </c>
      <c r="AZ5" s="3">
        <v>48</v>
      </c>
      <c r="BA5" s="3">
        <v>40</v>
      </c>
      <c r="BB5" s="4">
        <v>9216</v>
      </c>
      <c r="BC5" s="4">
        <v>2048</v>
      </c>
      <c r="BD5" s="3" t="s">
        <v>106</v>
      </c>
      <c r="BE5" s="4">
        <v>176947200</v>
      </c>
      <c r="BF5" s="3">
        <v>0</v>
      </c>
      <c r="BG5" s="3">
        <v>98.51</v>
      </c>
      <c r="BH5" s="3" t="s">
        <v>114</v>
      </c>
      <c r="BI5" s="3">
        <v>5288.2</v>
      </c>
      <c r="BJ5" s="3">
        <v>5368.2</v>
      </c>
      <c r="BK5" s="3">
        <v>8913.7000000000007</v>
      </c>
      <c r="BL5" s="3">
        <v>9886.7999999999993</v>
      </c>
      <c r="BM5" s="3">
        <v>247.17</v>
      </c>
      <c r="BN5" s="3">
        <v>4518.5</v>
      </c>
      <c r="BO5" s="3">
        <v>45.7</v>
      </c>
      <c r="BP5" s="3">
        <v>17.896999999999998</v>
      </c>
      <c r="BQ5" s="3">
        <v>35.795000000000002</v>
      </c>
      <c r="BR5" s="3">
        <v>101.15</v>
      </c>
      <c r="BS5" s="3">
        <v>33.095500000000001</v>
      </c>
      <c r="BT5" s="3">
        <v>27.166499999999999</v>
      </c>
      <c r="BU5" s="3">
        <v>5.9290000000000003</v>
      </c>
      <c r="BV5" s="3">
        <v>327.20699999999999</v>
      </c>
      <c r="BW5" s="3">
        <v>268.58800000000002</v>
      </c>
      <c r="BX5" s="3">
        <v>58.619</v>
      </c>
      <c r="BY5" s="3">
        <v>1.8492</v>
      </c>
      <c r="BZ5" s="3">
        <v>1</v>
      </c>
      <c r="CA5" s="3">
        <v>1</v>
      </c>
      <c r="CB5" s="3">
        <v>3</v>
      </c>
      <c r="CC5" s="4">
        <v>12140</v>
      </c>
      <c r="CD5" s="3">
        <v>120.01</v>
      </c>
      <c r="CE5" s="3">
        <v>288</v>
      </c>
      <c r="CF5" s="3">
        <v>0.26200000000000001</v>
      </c>
      <c r="CG5" s="3">
        <v>0.92100000000000004</v>
      </c>
      <c r="CH5" s="3">
        <v>1.6519999999999999</v>
      </c>
      <c r="CI5" s="3">
        <v>4.6699999999999998E-2</v>
      </c>
      <c r="CJ5" s="3">
        <v>100</v>
      </c>
      <c r="CK5" s="3" t="s">
        <v>115</v>
      </c>
      <c r="CL5" s="3">
        <v>10180.4</v>
      </c>
      <c r="CM5" s="3">
        <v>10375.9</v>
      </c>
      <c r="CN5" s="3">
        <v>3.35</v>
      </c>
      <c r="CO5" s="3" t="s">
        <v>107</v>
      </c>
      <c r="CP5" s="3" t="s">
        <v>256</v>
      </c>
      <c r="CQ5" s="3">
        <v>2.56</v>
      </c>
      <c r="CR5" s="3">
        <v>2.81</v>
      </c>
      <c r="CS5" s="3">
        <v>3.39</v>
      </c>
      <c r="CT5" s="3">
        <v>0</v>
      </c>
      <c r="CU5" s="3" t="s">
        <v>261</v>
      </c>
      <c r="CV5" s="3" t="s">
        <v>258</v>
      </c>
      <c r="CW5" s="3">
        <v>2</v>
      </c>
      <c r="CX5" s="3">
        <v>9.7789999999999999</v>
      </c>
      <c r="CY5" s="3">
        <v>9.9949999999999992</v>
      </c>
      <c r="CZ5" s="3">
        <v>0.108</v>
      </c>
      <c r="DA5" s="3">
        <v>100.06</v>
      </c>
      <c r="DB5" s="3">
        <v>102.26</v>
      </c>
      <c r="DC5" s="3">
        <v>1.1000000000000001</v>
      </c>
      <c r="DD5" s="3">
        <v>311.529</v>
      </c>
      <c r="DE5" s="3">
        <v>342.47</v>
      </c>
      <c r="DF5" s="3">
        <v>15.471</v>
      </c>
      <c r="DG5" s="3">
        <v>1.7605999999999999</v>
      </c>
      <c r="DH5" s="3">
        <v>1.9354</v>
      </c>
      <c r="DI5" s="3">
        <v>8.7400000000000005E-2</v>
      </c>
      <c r="DJ5" s="3">
        <v>3.9790000000000001</v>
      </c>
      <c r="DK5" s="3">
        <v>7.8789999999999996</v>
      </c>
      <c r="DL5" s="3">
        <v>27.141999999999999</v>
      </c>
      <c r="DM5" s="3">
        <v>27.190999999999999</v>
      </c>
    </row>
    <row r="6" spans="1:117" x14ac:dyDescent="0.35">
      <c r="A6" s="3" t="s">
        <v>116</v>
      </c>
      <c r="B6" s="3" t="s">
        <v>103</v>
      </c>
      <c r="G6" s="3">
        <v>8.2170000000000005</v>
      </c>
      <c r="H6" s="3">
        <v>4.5359999999999996</v>
      </c>
      <c r="O6" s="3">
        <v>396.03</v>
      </c>
      <c r="P6" s="3">
        <v>57.703000000000003</v>
      </c>
      <c r="U6" s="3">
        <v>12.754</v>
      </c>
      <c r="Y6" s="3">
        <v>78.41</v>
      </c>
      <c r="AC6" s="3">
        <v>13.874000000000001</v>
      </c>
      <c r="AG6" s="3">
        <v>453.733</v>
      </c>
      <c r="AK6" s="3">
        <v>2.5642</v>
      </c>
      <c r="AO6" s="3">
        <v>31.052</v>
      </c>
      <c r="AS6" s="3">
        <v>0.25800000000000001</v>
      </c>
      <c r="AU6" s="3" t="s">
        <v>117</v>
      </c>
      <c r="AV6" s="3" t="s">
        <v>105</v>
      </c>
      <c r="AW6" s="3">
        <v>3</v>
      </c>
      <c r="AX6" s="3">
        <v>14</v>
      </c>
      <c r="AY6" s="3">
        <v>392</v>
      </c>
      <c r="AZ6" s="3">
        <v>48</v>
      </c>
      <c r="BA6" s="3">
        <v>40</v>
      </c>
      <c r="BB6" s="4">
        <v>9216</v>
      </c>
      <c r="BC6" s="4">
        <v>2048</v>
      </c>
      <c r="BD6" s="3" t="s">
        <v>118</v>
      </c>
      <c r="BE6" s="4">
        <v>176947200</v>
      </c>
      <c r="BF6" s="3">
        <v>0</v>
      </c>
      <c r="BG6" s="3">
        <v>57.46</v>
      </c>
      <c r="BH6" s="3" t="s">
        <v>262</v>
      </c>
      <c r="BI6" s="3">
        <v>4721.6000000000004</v>
      </c>
      <c r="BJ6" s="3">
        <v>8217.2999999999993</v>
      </c>
      <c r="BK6" s="4">
        <v>11957</v>
      </c>
      <c r="BL6" s="3">
        <v>12753.5</v>
      </c>
      <c r="BM6" s="3">
        <v>318.83999999999997</v>
      </c>
      <c r="BN6" s="3">
        <v>4536.3</v>
      </c>
      <c r="BO6" s="3">
        <v>35.57</v>
      </c>
      <c r="BP6" s="3">
        <v>13.874000000000001</v>
      </c>
      <c r="BQ6" s="3">
        <v>27.748999999999999</v>
      </c>
      <c r="BR6" s="3">
        <v>78.41</v>
      </c>
      <c r="BS6" s="3">
        <v>35.576999999999998</v>
      </c>
      <c r="BT6" s="3">
        <v>31.052499999999998</v>
      </c>
      <c r="BU6" s="3">
        <v>4.524</v>
      </c>
      <c r="BV6" s="3">
        <v>453.733</v>
      </c>
      <c r="BW6" s="3">
        <v>396.03</v>
      </c>
      <c r="BX6" s="3">
        <v>57.703000000000003</v>
      </c>
      <c r="BY6" s="3">
        <v>2.5642</v>
      </c>
      <c r="BZ6" s="3">
        <v>0.99609999999999999</v>
      </c>
      <c r="CA6" s="3">
        <v>1</v>
      </c>
      <c r="CB6" s="3">
        <v>3</v>
      </c>
      <c r="CC6" s="4">
        <v>9410</v>
      </c>
      <c r="CD6" s="3">
        <v>120.02</v>
      </c>
      <c r="CE6" s="3">
        <v>256</v>
      </c>
      <c r="CF6" s="3">
        <v>0.25800000000000001</v>
      </c>
      <c r="CG6" s="3">
        <v>0.82199999999999995</v>
      </c>
      <c r="CH6" s="3">
        <v>1.548</v>
      </c>
      <c r="CI6" s="3">
        <v>-2.0000000000000001E-4</v>
      </c>
      <c r="CJ6" s="3">
        <v>100</v>
      </c>
      <c r="CK6" s="3" t="s">
        <v>120</v>
      </c>
      <c r="CL6" s="3">
        <v>13006.8</v>
      </c>
      <c r="CM6" s="3">
        <v>13145.2</v>
      </c>
      <c r="CN6" s="3">
        <v>2.13</v>
      </c>
      <c r="CO6" s="3" t="s">
        <v>107</v>
      </c>
      <c r="CP6" s="3" t="s">
        <v>256</v>
      </c>
      <c r="CQ6" s="3">
        <v>2.89</v>
      </c>
      <c r="CR6" s="3">
        <v>3.54</v>
      </c>
      <c r="CS6" s="3">
        <v>4.16</v>
      </c>
      <c r="CT6" s="3">
        <v>0</v>
      </c>
      <c r="CU6" s="3" t="s">
        <v>263</v>
      </c>
      <c r="CV6" s="3" t="s">
        <v>258</v>
      </c>
      <c r="CW6" s="3">
        <v>2</v>
      </c>
      <c r="CX6" s="3">
        <v>12.743</v>
      </c>
      <c r="CY6" s="3">
        <v>12.763999999999999</v>
      </c>
      <c r="CZ6" s="3">
        <v>1.0999999999999999E-2</v>
      </c>
      <c r="DA6" s="3">
        <v>78.34</v>
      </c>
      <c r="DB6" s="3">
        <v>78.48</v>
      </c>
      <c r="DC6" s="3">
        <v>7.0000000000000007E-2</v>
      </c>
      <c r="DD6" s="3">
        <v>453.72</v>
      </c>
      <c r="DE6" s="3">
        <v>453.74599999999998</v>
      </c>
      <c r="DF6" s="3">
        <v>1.2999999999999999E-2</v>
      </c>
      <c r="DG6" s="3">
        <v>2.5642</v>
      </c>
      <c r="DH6" s="3">
        <v>2.5642999999999998</v>
      </c>
      <c r="DI6" s="3">
        <v>1E-4</v>
      </c>
      <c r="DJ6" s="3">
        <v>4.5119999999999996</v>
      </c>
      <c r="DK6" s="3">
        <v>4.5369999999999999</v>
      </c>
      <c r="DL6" s="3">
        <v>31.033999999999999</v>
      </c>
      <c r="DM6" s="3">
        <v>31.071000000000002</v>
      </c>
    </row>
    <row r="7" spans="1:117" x14ac:dyDescent="0.35">
      <c r="A7" s="3" t="s">
        <v>121</v>
      </c>
      <c r="B7" s="3" t="s">
        <v>103</v>
      </c>
      <c r="I7" s="3">
        <v>4.7460000000000004</v>
      </c>
      <c r="J7" s="3">
        <v>4.649</v>
      </c>
      <c r="Q7" s="3">
        <v>261.90199999999999</v>
      </c>
      <c r="R7" s="3">
        <v>62.488999999999997</v>
      </c>
      <c r="V7" s="3">
        <v>9.3949999999999996</v>
      </c>
      <c r="Z7" s="3">
        <v>106.44</v>
      </c>
      <c r="AD7" s="3">
        <v>18.835000000000001</v>
      </c>
      <c r="AH7" s="3">
        <v>324.39100000000002</v>
      </c>
      <c r="AL7" s="3">
        <v>1.8332999999999999</v>
      </c>
      <c r="AP7" s="3">
        <v>27.878</v>
      </c>
      <c r="AT7" s="3">
        <v>0.25800000000000001</v>
      </c>
      <c r="AU7" s="3" t="s">
        <v>122</v>
      </c>
      <c r="AV7" s="3" t="s">
        <v>105</v>
      </c>
      <c r="AW7" s="3">
        <v>3</v>
      </c>
      <c r="AX7" s="3">
        <v>14</v>
      </c>
      <c r="AY7" s="3">
        <v>393</v>
      </c>
      <c r="AZ7" s="3">
        <v>48</v>
      </c>
      <c r="BA7" s="3">
        <v>40</v>
      </c>
      <c r="BB7" s="4">
        <v>9216</v>
      </c>
      <c r="BC7" s="4">
        <v>2048</v>
      </c>
      <c r="BD7" s="3" t="s">
        <v>118</v>
      </c>
      <c r="BE7" s="4">
        <v>176947200</v>
      </c>
      <c r="BF7" s="3">
        <v>0</v>
      </c>
      <c r="BG7" s="3">
        <v>99.23</v>
      </c>
      <c r="BH7" s="3" t="s">
        <v>262</v>
      </c>
      <c r="BI7" s="3">
        <v>4709.6000000000004</v>
      </c>
      <c r="BJ7" s="3">
        <v>4746.2</v>
      </c>
      <c r="BK7" s="3">
        <v>8738.9</v>
      </c>
      <c r="BL7" s="3">
        <v>9394.7999999999993</v>
      </c>
      <c r="BM7" s="3">
        <v>234.87</v>
      </c>
      <c r="BN7" s="3">
        <v>4648.6000000000004</v>
      </c>
      <c r="BO7" s="3">
        <v>49.48</v>
      </c>
      <c r="BP7" s="3">
        <v>18.835000000000001</v>
      </c>
      <c r="BQ7" s="3">
        <v>37.668999999999997</v>
      </c>
      <c r="BR7" s="3">
        <v>106.44</v>
      </c>
      <c r="BS7" s="3">
        <v>34.529000000000003</v>
      </c>
      <c r="BT7" s="3">
        <v>27.877500000000001</v>
      </c>
      <c r="BU7" s="3">
        <v>6.6520000000000001</v>
      </c>
      <c r="BV7" s="3">
        <v>324.39100000000002</v>
      </c>
      <c r="BW7" s="3">
        <v>261.90199999999999</v>
      </c>
      <c r="BX7" s="3">
        <v>62.488999999999997</v>
      </c>
      <c r="BY7" s="3">
        <v>1.8332999999999999</v>
      </c>
      <c r="BZ7" s="3">
        <v>0.99970000000000003</v>
      </c>
      <c r="CA7" s="3">
        <v>1</v>
      </c>
      <c r="CB7" s="3">
        <v>3</v>
      </c>
      <c r="CC7" s="4">
        <v>12775</v>
      </c>
      <c r="CD7" s="3">
        <v>120.01</v>
      </c>
      <c r="CE7" s="3">
        <v>256</v>
      </c>
      <c r="CF7" s="3">
        <v>0.25800000000000001</v>
      </c>
      <c r="CG7" s="3">
        <v>0.82199999999999995</v>
      </c>
      <c r="CH7" s="3">
        <v>1.548</v>
      </c>
      <c r="CI7" s="3">
        <v>-2.0000000000000001E-4</v>
      </c>
      <c r="CJ7" s="3">
        <v>100</v>
      </c>
      <c r="CK7" s="3" t="s">
        <v>120</v>
      </c>
      <c r="CL7" s="3">
        <v>9573.4</v>
      </c>
      <c r="CM7" s="3">
        <v>9832.2000000000007</v>
      </c>
      <c r="CN7" s="3">
        <v>4.38</v>
      </c>
      <c r="CO7" s="3" t="s">
        <v>107</v>
      </c>
      <c r="CP7" s="3" t="s">
        <v>256</v>
      </c>
      <c r="CQ7" s="3">
        <v>3.13</v>
      </c>
      <c r="CR7" s="3">
        <v>3.43</v>
      </c>
      <c r="CS7" s="3">
        <v>4.01</v>
      </c>
      <c r="CT7" s="3">
        <v>0</v>
      </c>
      <c r="CU7" s="3" t="s">
        <v>264</v>
      </c>
      <c r="CV7" s="3" t="s">
        <v>258</v>
      </c>
      <c r="CW7" s="3">
        <v>2</v>
      </c>
      <c r="CX7" s="3">
        <v>9.3049999999999997</v>
      </c>
      <c r="CY7" s="3">
        <v>9.4849999999999994</v>
      </c>
      <c r="CZ7" s="3">
        <v>0.09</v>
      </c>
      <c r="DA7" s="3">
        <v>105.43</v>
      </c>
      <c r="DB7" s="3">
        <v>107.47</v>
      </c>
      <c r="DC7" s="3">
        <v>1.02</v>
      </c>
      <c r="DD7" s="3">
        <v>306.09300000000002</v>
      </c>
      <c r="DE7" s="3">
        <v>342.28300000000002</v>
      </c>
      <c r="DF7" s="3">
        <v>18.094999999999999</v>
      </c>
      <c r="DG7" s="3">
        <v>1.7299</v>
      </c>
      <c r="DH7" s="3">
        <v>1.9343999999999999</v>
      </c>
      <c r="DI7" s="3">
        <v>0.1023</v>
      </c>
      <c r="DJ7" s="3">
        <v>4.3570000000000002</v>
      </c>
      <c r="DK7" s="3">
        <v>8.9459999999999997</v>
      </c>
      <c r="DL7" s="3">
        <v>27.84</v>
      </c>
      <c r="DM7" s="3">
        <v>27.914999999999999</v>
      </c>
    </row>
    <row r="8" spans="1:117" x14ac:dyDescent="0.35">
      <c r="A8" s="3" t="s">
        <v>123</v>
      </c>
      <c r="B8" s="3" t="s">
        <v>103</v>
      </c>
      <c r="C8" s="3">
        <v>4.3209999999999997</v>
      </c>
      <c r="D8" s="3">
        <v>6.1829999999999998</v>
      </c>
      <c r="K8" s="3">
        <v>319.84699999999998</v>
      </c>
      <c r="L8" s="3">
        <v>64.436999999999998</v>
      </c>
      <c r="S8" s="3">
        <v>10.504</v>
      </c>
      <c r="W8" s="3">
        <v>95.2</v>
      </c>
      <c r="AA8" s="3">
        <v>16.846</v>
      </c>
      <c r="AE8" s="3">
        <v>384.28399999999999</v>
      </c>
      <c r="AI8" s="3">
        <v>2.1717</v>
      </c>
      <c r="AM8" s="3">
        <v>30.45</v>
      </c>
      <c r="AQ8" s="3">
        <v>0.24099999999999999</v>
      </c>
      <c r="AU8" s="3" t="s">
        <v>104</v>
      </c>
      <c r="AV8" s="3" t="s">
        <v>124</v>
      </c>
      <c r="AW8" s="3">
        <v>1</v>
      </c>
      <c r="AX8" s="3">
        <v>17</v>
      </c>
      <c r="AY8" s="3">
        <v>325</v>
      </c>
      <c r="AZ8" s="3">
        <v>64</v>
      </c>
      <c r="BA8" s="3">
        <v>40</v>
      </c>
      <c r="BB8" s="4">
        <v>9216</v>
      </c>
      <c r="BC8" s="4">
        <v>2048</v>
      </c>
      <c r="BD8" s="3" t="s">
        <v>106</v>
      </c>
      <c r="BE8" s="4">
        <v>176947200</v>
      </c>
      <c r="BF8" s="3">
        <v>0</v>
      </c>
      <c r="BG8" s="3">
        <v>98.86</v>
      </c>
      <c r="BH8" s="3" t="s">
        <v>123</v>
      </c>
      <c r="BI8" s="3">
        <v>4271.3</v>
      </c>
      <c r="BJ8" s="3">
        <v>4320.5</v>
      </c>
      <c r="BK8" s="4">
        <v>9379</v>
      </c>
      <c r="BL8" s="4">
        <v>10504</v>
      </c>
      <c r="BM8" s="3">
        <v>262.60000000000002</v>
      </c>
      <c r="BN8" s="3">
        <v>6183.5</v>
      </c>
      <c r="BO8" s="3">
        <v>58.87</v>
      </c>
      <c r="BP8" s="3">
        <v>16.846</v>
      </c>
      <c r="BQ8" s="3">
        <v>33.691000000000003</v>
      </c>
      <c r="BR8" s="3">
        <v>95.2</v>
      </c>
      <c r="BS8" s="3">
        <v>36.584499999999998</v>
      </c>
      <c r="BT8" s="3">
        <v>30.45</v>
      </c>
      <c r="BU8" s="3">
        <v>6.1340000000000003</v>
      </c>
      <c r="BV8" s="3">
        <v>384.28399999999999</v>
      </c>
      <c r="BW8" s="3">
        <v>319.84699999999998</v>
      </c>
      <c r="BX8" s="3">
        <v>64.436999999999998</v>
      </c>
      <c r="BY8" s="3">
        <v>2.1717</v>
      </c>
      <c r="BZ8" s="3">
        <v>1</v>
      </c>
      <c r="CA8" s="3">
        <v>1</v>
      </c>
      <c r="CB8" s="3">
        <v>3</v>
      </c>
      <c r="CC8" s="4">
        <v>11427</v>
      </c>
      <c r="CD8" s="3">
        <v>120.02</v>
      </c>
      <c r="CE8" s="3">
        <v>384</v>
      </c>
      <c r="CF8" s="3">
        <v>0.24099999999999999</v>
      </c>
      <c r="CG8" s="3">
        <v>0.86099999999999999</v>
      </c>
      <c r="CH8" s="3">
        <v>1.3580000000000001</v>
      </c>
      <c r="CI8" s="3">
        <v>-1.12E-2</v>
      </c>
      <c r="CJ8" s="3">
        <v>100</v>
      </c>
      <c r="CK8" s="3" t="s">
        <v>124</v>
      </c>
      <c r="CL8" s="4">
        <v>10663</v>
      </c>
      <c r="CM8" s="3">
        <v>10895.2</v>
      </c>
      <c r="CN8" s="3">
        <v>4.4800000000000004</v>
      </c>
      <c r="CO8" s="3" t="s">
        <v>107</v>
      </c>
      <c r="CP8" s="3" t="s">
        <v>256</v>
      </c>
      <c r="CQ8" s="3">
        <v>2.76</v>
      </c>
      <c r="CR8" s="3">
        <v>3.59</v>
      </c>
      <c r="CS8" s="3">
        <v>4.0599999999999996</v>
      </c>
      <c r="CT8" s="3">
        <v>0</v>
      </c>
      <c r="CU8" s="3" t="s">
        <v>265</v>
      </c>
      <c r="CV8" s="3" t="s">
        <v>258</v>
      </c>
      <c r="CW8" s="3">
        <v>2</v>
      </c>
      <c r="CX8" s="3">
        <v>10.395</v>
      </c>
      <c r="CY8" s="3">
        <v>10.613</v>
      </c>
      <c r="CZ8" s="3">
        <v>0.109</v>
      </c>
      <c r="DA8" s="3">
        <v>94.22</v>
      </c>
      <c r="DB8" s="3">
        <v>96.2</v>
      </c>
      <c r="DC8" s="3">
        <v>0.99</v>
      </c>
      <c r="DD8" s="3">
        <v>380.49400000000003</v>
      </c>
      <c r="DE8" s="3">
        <v>387.91300000000001</v>
      </c>
      <c r="DF8" s="3">
        <v>3.71</v>
      </c>
      <c r="DG8" s="3">
        <v>2.1503000000000001</v>
      </c>
      <c r="DH8" s="3">
        <v>2.1922999999999999</v>
      </c>
      <c r="DI8" s="3">
        <v>2.1000000000000001E-2</v>
      </c>
      <c r="DJ8" s="3">
        <v>5.3710000000000004</v>
      </c>
      <c r="DK8" s="3">
        <v>6.8979999999999997</v>
      </c>
      <c r="DL8" s="3">
        <v>30.42</v>
      </c>
      <c r="DM8" s="3">
        <v>30.48</v>
      </c>
    </row>
    <row r="9" spans="1:117" x14ac:dyDescent="0.35">
      <c r="A9" s="3" t="s">
        <v>119</v>
      </c>
      <c r="B9" s="3" t="s">
        <v>103</v>
      </c>
      <c r="E9" s="3">
        <v>4.6859999999999999</v>
      </c>
      <c r="F9" s="3">
        <v>6.1079999999999997</v>
      </c>
      <c r="M9" s="3">
        <v>335.154</v>
      </c>
      <c r="N9" s="3">
        <v>63.01</v>
      </c>
      <c r="T9" s="3">
        <v>10.794</v>
      </c>
      <c r="X9" s="3">
        <v>92.64</v>
      </c>
      <c r="AB9" s="3">
        <v>16.393000000000001</v>
      </c>
      <c r="AF9" s="3">
        <v>398.16399999999999</v>
      </c>
      <c r="AJ9" s="3">
        <v>2.2502</v>
      </c>
      <c r="AN9" s="3">
        <v>31.05</v>
      </c>
      <c r="AR9" s="3">
        <v>0.25800000000000001</v>
      </c>
      <c r="AU9" s="3" t="s">
        <v>111</v>
      </c>
      <c r="AV9" s="3" t="s">
        <v>105</v>
      </c>
      <c r="AW9" s="3">
        <v>3</v>
      </c>
      <c r="AX9" s="3">
        <v>18</v>
      </c>
      <c r="AY9" s="3">
        <v>399</v>
      </c>
      <c r="AZ9" s="3">
        <v>48</v>
      </c>
      <c r="BA9" s="3">
        <v>40</v>
      </c>
      <c r="BB9" s="4">
        <v>9216</v>
      </c>
      <c r="BC9" s="4">
        <v>2048</v>
      </c>
      <c r="BD9" s="3" t="s">
        <v>118</v>
      </c>
      <c r="BE9" s="4">
        <v>176947200</v>
      </c>
      <c r="BF9" s="3">
        <v>0</v>
      </c>
      <c r="BG9" s="3">
        <v>98.99</v>
      </c>
      <c r="BH9" s="3" t="s">
        <v>119</v>
      </c>
      <c r="BI9" s="3">
        <v>4638.8</v>
      </c>
      <c r="BJ9" s="3">
        <v>4686.1000000000004</v>
      </c>
      <c r="BK9" s="3">
        <v>9664.2000000000007</v>
      </c>
      <c r="BL9" s="4">
        <v>10794</v>
      </c>
      <c r="BM9" s="3">
        <v>269.85000000000002</v>
      </c>
      <c r="BN9" s="3">
        <v>6107.9</v>
      </c>
      <c r="BO9" s="3">
        <v>56.59</v>
      </c>
      <c r="BP9" s="3">
        <v>16.393000000000001</v>
      </c>
      <c r="BQ9" s="3">
        <v>32.786000000000001</v>
      </c>
      <c r="BR9" s="3">
        <v>92.64</v>
      </c>
      <c r="BS9" s="3">
        <v>36.887500000000003</v>
      </c>
      <c r="BT9" s="3">
        <v>31.05</v>
      </c>
      <c r="BU9" s="3">
        <v>5.8380000000000001</v>
      </c>
      <c r="BV9" s="3">
        <v>398.16399999999999</v>
      </c>
      <c r="BW9" s="3">
        <v>335.154</v>
      </c>
      <c r="BX9" s="3">
        <v>63.01</v>
      </c>
      <c r="BY9" s="3">
        <v>2.2502</v>
      </c>
      <c r="BZ9" s="3">
        <v>0.99970000000000003</v>
      </c>
      <c r="CA9" s="3">
        <v>1</v>
      </c>
      <c r="CB9" s="3">
        <v>3</v>
      </c>
      <c r="CC9" s="4">
        <v>11118</v>
      </c>
      <c r="CD9" s="3">
        <v>120</v>
      </c>
      <c r="CE9" s="3">
        <v>256</v>
      </c>
      <c r="CF9" s="3">
        <v>0.25800000000000001</v>
      </c>
      <c r="CG9" s="3">
        <v>0.82199999999999995</v>
      </c>
      <c r="CH9" s="3">
        <v>1.548</v>
      </c>
      <c r="CI9" s="3">
        <v>-2.0000000000000001E-4</v>
      </c>
      <c r="CJ9" s="3">
        <v>100</v>
      </c>
      <c r="CK9" s="3" t="s">
        <v>120</v>
      </c>
      <c r="CL9" s="3">
        <v>11066.4</v>
      </c>
      <c r="CM9" s="3">
        <v>11234.3</v>
      </c>
      <c r="CN9" s="3">
        <v>3.33</v>
      </c>
      <c r="CO9" s="3" t="s">
        <v>107</v>
      </c>
      <c r="CP9" s="3" t="s">
        <v>256</v>
      </c>
      <c r="CQ9" s="3">
        <v>3.31</v>
      </c>
      <c r="CR9" s="3">
        <v>3.64</v>
      </c>
      <c r="CS9" s="3">
        <v>4.26</v>
      </c>
      <c r="CT9" s="3">
        <v>0</v>
      </c>
      <c r="CU9" s="3" t="s">
        <v>266</v>
      </c>
      <c r="CV9" s="3" t="s">
        <v>258</v>
      </c>
      <c r="CW9" s="3">
        <v>2</v>
      </c>
      <c r="CX9" s="3">
        <v>10.765000000000001</v>
      </c>
      <c r="CY9" s="3">
        <v>10.823</v>
      </c>
      <c r="CZ9" s="3">
        <v>2.9000000000000001E-2</v>
      </c>
      <c r="DA9" s="3">
        <v>92.39</v>
      </c>
      <c r="DB9" s="3">
        <v>92.9</v>
      </c>
      <c r="DC9" s="3">
        <v>0.25</v>
      </c>
      <c r="DD9" s="3">
        <v>396.86500000000001</v>
      </c>
      <c r="DE9" s="3">
        <v>399.44900000000001</v>
      </c>
      <c r="DF9" s="3">
        <v>1.292</v>
      </c>
      <c r="DG9" s="3">
        <v>2.2427999999999999</v>
      </c>
      <c r="DH9" s="3">
        <v>2.2574000000000001</v>
      </c>
      <c r="DI9" s="3">
        <v>7.3000000000000001E-3</v>
      </c>
      <c r="DJ9" s="3">
        <v>5.6970000000000001</v>
      </c>
      <c r="DK9" s="3">
        <v>5.9779999999999998</v>
      </c>
      <c r="DL9" s="3">
        <v>30.971</v>
      </c>
      <c r="DM9" s="3">
        <v>31.129000000000001</v>
      </c>
    </row>
    <row r="10" spans="1:117" x14ac:dyDescent="0.35">
      <c r="A10" s="3" t="s">
        <v>125</v>
      </c>
      <c r="B10" s="3" t="s">
        <v>103</v>
      </c>
      <c r="E10" s="3">
        <v>3.8980000000000001</v>
      </c>
      <c r="F10" s="3">
        <v>6.9320000000000004</v>
      </c>
      <c r="M10" s="3">
        <v>341.78300000000002</v>
      </c>
      <c r="N10" s="3">
        <v>69.915000000000006</v>
      </c>
      <c r="T10" s="3">
        <v>10.829000000000001</v>
      </c>
      <c r="X10" s="3">
        <v>92.34</v>
      </c>
      <c r="AB10" s="3">
        <v>16.338999999999999</v>
      </c>
      <c r="AF10" s="3">
        <v>411.69799999999998</v>
      </c>
      <c r="AJ10" s="3">
        <v>2.3267000000000002</v>
      </c>
      <c r="AN10" s="3">
        <v>31.561</v>
      </c>
      <c r="AR10" s="3">
        <v>0.19800000000000001</v>
      </c>
      <c r="AU10" s="3" t="s">
        <v>111</v>
      </c>
      <c r="AV10" s="3" t="s">
        <v>109</v>
      </c>
      <c r="AW10" s="3">
        <v>2</v>
      </c>
      <c r="AX10" s="3">
        <v>20</v>
      </c>
      <c r="AY10" s="3">
        <v>361</v>
      </c>
      <c r="AZ10" s="3">
        <v>64</v>
      </c>
      <c r="BA10" s="3">
        <v>40</v>
      </c>
      <c r="BB10" s="4">
        <v>9216</v>
      </c>
      <c r="BC10" s="4">
        <v>2048</v>
      </c>
      <c r="BD10" s="3" t="s">
        <v>112</v>
      </c>
      <c r="BE10" s="4">
        <v>176947200</v>
      </c>
      <c r="BF10" s="3">
        <v>0</v>
      </c>
      <c r="BG10" s="3">
        <v>98.66</v>
      </c>
      <c r="BH10" s="3" t="s">
        <v>125</v>
      </c>
      <c r="BI10" s="3">
        <v>3845.3</v>
      </c>
      <c r="BJ10" s="3">
        <v>3897.5</v>
      </c>
      <c r="BK10" s="3">
        <v>9914.2000000000007</v>
      </c>
      <c r="BL10" s="3">
        <v>10829.5</v>
      </c>
      <c r="BM10" s="3">
        <v>270.74</v>
      </c>
      <c r="BN10" s="3">
        <v>6931.9</v>
      </c>
      <c r="BO10" s="3">
        <v>64.010000000000005</v>
      </c>
      <c r="BP10" s="3">
        <v>16.338999999999999</v>
      </c>
      <c r="BQ10" s="3">
        <v>32.679000000000002</v>
      </c>
      <c r="BR10" s="3">
        <v>92.34</v>
      </c>
      <c r="BS10" s="3">
        <v>38.016500000000001</v>
      </c>
      <c r="BT10" s="3">
        <v>31.560500000000001</v>
      </c>
      <c r="BU10" s="3">
        <v>6.4560000000000004</v>
      </c>
      <c r="BV10" s="3">
        <v>411.69799999999998</v>
      </c>
      <c r="BW10" s="3">
        <v>341.78300000000002</v>
      </c>
      <c r="BX10" s="3">
        <v>69.915000000000006</v>
      </c>
      <c r="BY10" s="3">
        <v>2.3267000000000002</v>
      </c>
      <c r="BZ10" s="3">
        <v>0.99990000000000001</v>
      </c>
      <c r="CA10" s="3">
        <v>1</v>
      </c>
      <c r="CB10" s="3">
        <v>3</v>
      </c>
      <c r="CC10" s="4">
        <v>11082</v>
      </c>
      <c r="CD10" s="3">
        <v>120.01</v>
      </c>
      <c r="CE10" s="3">
        <v>352</v>
      </c>
      <c r="CF10" s="3">
        <v>0.19800000000000001</v>
      </c>
      <c r="CG10" s="3">
        <v>0.82099999999999995</v>
      </c>
      <c r="CH10" s="3">
        <v>2.3940000000000001</v>
      </c>
      <c r="CI10" s="3">
        <v>-1.9199999999999998E-2</v>
      </c>
      <c r="CJ10" s="3">
        <v>100</v>
      </c>
      <c r="CK10" s="3" t="s">
        <v>126</v>
      </c>
      <c r="CL10" s="3">
        <v>11126.9</v>
      </c>
      <c r="CM10" s="3">
        <v>11439.6</v>
      </c>
      <c r="CN10" s="3">
        <v>5.2</v>
      </c>
      <c r="CO10" s="3" t="s">
        <v>107</v>
      </c>
      <c r="CP10" s="3" t="s">
        <v>256</v>
      </c>
      <c r="CQ10" s="3">
        <v>3.46</v>
      </c>
      <c r="CR10" s="3">
        <v>3.62</v>
      </c>
      <c r="CS10" s="3">
        <v>3.99</v>
      </c>
      <c r="CT10" s="3">
        <v>0</v>
      </c>
      <c r="CU10" s="3" t="s">
        <v>267</v>
      </c>
      <c r="CV10" s="3" t="s">
        <v>258</v>
      </c>
      <c r="CW10" s="3">
        <v>2</v>
      </c>
      <c r="CX10" s="3">
        <v>10.776</v>
      </c>
      <c r="CY10" s="3">
        <v>10.882999999999999</v>
      </c>
      <c r="CZ10" s="3">
        <v>5.3999999999999999E-2</v>
      </c>
      <c r="DA10" s="3">
        <v>91.89</v>
      </c>
      <c r="DB10" s="3">
        <v>92.8</v>
      </c>
      <c r="DC10" s="3">
        <v>0.46</v>
      </c>
      <c r="DD10" s="3">
        <v>406.53399999999999</v>
      </c>
      <c r="DE10" s="3">
        <v>416.79</v>
      </c>
      <c r="DF10" s="3">
        <v>5.1280000000000001</v>
      </c>
      <c r="DG10" s="3">
        <v>2.2974999999999999</v>
      </c>
      <c r="DH10" s="3">
        <v>2.3553999999999999</v>
      </c>
      <c r="DI10" s="3">
        <v>2.9000000000000001E-2</v>
      </c>
      <c r="DJ10" s="3">
        <v>5.7809999999999997</v>
      </c>
      <c r="DK10" s="3">
        <v>7.1310000000000002</v>
      </c>
      <c r="DL10" s="3">
        <v>31.547000000000001</v>
      </c>
      <c r="DM10" s="3">
        <v>31.574000000000002</v>
      </c>
    </row>
    <row r="11" spans="1:117" x14ac:dyDescent="0.35">
      <c r="A11" s="3" t="s">
        <v>127</v>
      </c>
      <c r="B11" s="3" t="s">
        <v>103</v>
      </c>
      <c r="C11" s="3">
        <v>3.1160000000000001</v>
      </c>
      <c r="D11" s="3">
        <v>9.0090000000000003</v>
      </c>
      <c r="K11" s="3">
        <v>390.49400000000003</v>
      </c>
      <c r="L11" s="3">
        <v>57.887999999999998</v>
      </c>
      <c r="S11" s="3">
        <v>12.124000000000001</v>
      </c>
      <c r="W11" s="3">
        <v>82.48</v>
      </c>
      <c r="AA11" s="3">
        <v>14.593999999999999</v>
      </c>
      <c r="AE11" s="3">
        <v>448.38200000000001</v>
      </c>
      <c r="AI11" s="3">
        <v>2.5339999999999998</v>
      </c>
      <c r="AM11" s="3">
        <v>32.207000000000001</v>
      </c>
      <c r="AQ11" s="3">
        <v>0.24199999999999999</v>
      </c>
      <c r="AU11" s="3" t="s">
        <v>104</v>
      </c>
      <c r="AV11" s="3" t="s">
        <v>128</v>
      </c>
      <c r="AW11" s="3">
        <v>1</v>
      </c>
      <c r="AX11" s="3">
        <v>24</v>
      </c>
      <c r="AY11" s="3">
        <v>300</v>
      </c>
      <c r="AZ11" s="3">
        <v>96</v>
      </c>
      <c r="BA11" s="3">
        <v>40</v>
      </c>
      <c r="BB11" s="4">
        <v>9216</v>
      </c>
      <c r="BC11" s="4">
        <v>2048</v>
      </c>
      <c r="BD11" s="3" t="s">
        <v>106</v>
      </c>
      <c r="BE11" s="4">
        <v>176947200</v>
      </c>
      <c r="BF11" s="3">
        <v>0</v>
      </c>
      <c r="BG11" s="3">
        <v>99</v>
      </c>
      <c r="BH11" s="3" t="s">
        <v>127</v>
      </c>
      <c r="BI11" s="3">
        <v>3084.8</v>
      </c>
      <c r="BJ11" s="4">
        <v>3116</v>
      </c>
      <c r="BK11" s="4">
        <v>10448</v>
      </c>
      <c r="BL11" s="3">
        <v>12124.5</v>
      </c>
      <c r="BM11" s="3">
        <v>303.11</v>
      </c>
      <c r="BN11" s="3">
        <v>9008.5</v>
      </c>
      <c r="BO11" s="3">
        <v>74.3</v>
      </c>
      <c r="BP11" s="3">
        <v>14.593999999999999</v>
      </c>
      <c r="BQ11" s="3">
        <v>29.187999999999999</v>
      </c>
      <c r="BR11" s="3">
        <v>82.48</v>
      </c>
      <c r="BS11" s="3">
        <v>36.981499999999997</v>
      </c>
      <c r="BT11" s="3">
        <v>32.207000000000001</v>
      </c>
      <c r="BU11" s="3">
        <v>4.774</v>
      </c>
      <c r="BV11" s="3">
        <v>448.38200000000001</v>
      </c>
      <c r="BW11" s="3">
        <v>390.49400000000003</v>
      </c>
      <c r="BX11" s="3">
        <v>57.887999999999998</v>
      </c>
      <c r="BY11" s="3">
        <v>2.5339999999999998</v>
      </c>
      <c r="BZ11" s="3">
        <v>1</v>
      </c>
      <c r="CA11" s="3">
        <v>1</v>
      </c>
      <c r="CB11" s="3">
        <v>3</v>
      </c>
      <c r="CC11" s="4">
        <v>9899</v>
      </c>
      <c r="CD11" s="3">
        <v>120.01</v>
      </c>
      <c r="CE11" s="3">
        <v>576</v>
      </c>
      <c r="CF11" s="3">
        <v>0.24199999999999999</v>
      </c>
      <c r="CG11" s="3">
        <v>0.81899999999999995</v>
      </c>
      <c r="CH11" s="3">
        <v>2.105</v>
      </c>
      <c r="CI11" s="3">
        <v>3.56E-2</v>
      </c>
      <c r="CJ11" s="3">
        <v>100</v>
      </c>
      <c r="CK11" s="3" t="s">
        <v>128</v>
      </c>
      <c r="CL11" s="3">
        <v>12268.2</v>
      </c>
      <c r="CM11" s="3">
        <v>12601.8</v>
      </c>
      <c r="CN11" s="3">
        <v>5.67</v>
      </c>
      <c r="CO11" s="3" t="s">
        <v>107</v>
      </c>
      <c r="CP11" s="3" t="s">
        <v>256</v>
      </c>
      <c r="CQ11" s="3">
        <v>3.6</v>
      </c>
      <c r="CR11" s="3">
        <v>3.79</v>
      </c>
      <c r="CS11" s="3">
        <v>4.08</v>
      </c>
      <c r="CT11" s="3">
        <v>0</v>
      </c>
      <c r="CU11" s="3" t="s">
        <v>268</v>
      </c>
      <c r="CV11" s="3" t="s">
        <v>258</v>
      </c>
      <c r="CW11" s="3">
        <v>2</v>
      </c>
      <c r="CX11" s="3">
        <v>11.99</v>
      </c>
      <c r="CY11" s="3">
        <v>12.259</v>
      </c>
      <c r="CZ11" s="3">
        <v>0.13400000000000001</v>
      </c>
      <c r="DA11" s="3">
        <v>81.58</v>
      </c>
      <c r="DB11" s="3">
        <v>83.4</v>
      </c>
      <c r="DC11" s="3">
        <v>0.91</v>
      </c>
      <c r="DD11" s="3">
        <v>445.96800000000002</v>
      </c>
      <c r="DE11" s="3">
        <v>450.63499999999999</v>
      </c>
      <c r="DF11" s="3">
        <v>2.3340000000000001</v>
      </c>
      <c r="DG11" s="3">
        <v>2.5203000000000002</v>
      </c>
      <c r="DH11" s="3">
        <v>2.5467</v>
      </c>
      <c r="DI11" s="3">
        <v>1.32E-2</v>
      </c>
      <c r="DJ11" s="3">
        <v>4.1369999999999996</v>
      </c>
      <c r="DK11" s="3">
        <v>5.4119999999999999</v>
      </c>
      <c r="DL11" s="3">
        <v>32.170999999999999</v>
      </c>
      <c r="DM11" s="3">
        <v>32.243000000000002</v>
      </c>
    </row>
    <row r="12" spans="1:117" x14ac:dyDescent="0.35">
      <c r="A12" s="3" t="s">
        <v>129</v>
      </c>
      <c r="B12" s="3" t="s">
        <v>103</v>
      </c>
      <c r="E12" s="3">
        <v>3.7509999999999999</v>
      </c>
      <c r="F12" s="3">
        <v>7.82</v>
      </c>
      <c r="M12" s="3">
        <v>375.71899999999999</v>
      </c>
      <c r="N12" s="3">
        <v>60.548000000000002</v>
      </c>
      <c r="T12" s="3">
        <v>11.571</v>
      </c>
      <c r="X12" s="3">
        <v>86.42</v>
      </c>
      <c r="AB12" s="3">
        <v>15.292</v>
      </c>
      <c r="AF12" s="3">
        <v>436.267</v>
      </c>
      <c r="AJ12" s="3">
        <v>2.4655</v>
      </c>
      <c r="AN12" s="3">
        <v>32.469000000000001</v>
      </c>
      <c r="AR12" s="3">
        <v>0.23</v>
      </c>
      <c r="AU12" s="3" t="s">
        <v>111</v>
      </c>
      <c r="AV12" s="3" t="s">
        <v>105</v>
      </c>
      <c r="AW12" s="3">
        <v>4</v>
      </c>
      <c r="AX12" s="3">
        <v>24</v>
      </c>
      <c r="AY12" s="3">
        <v>374</v>
      </c>
      <c r="AZ12" s="3">
        <v>64</v>
      </c>
      <c r="BA12" s="3">
        <v>40</v>
      </c>
      <c r="BB12" s="4">
        <v>9216</v>
      </c>
      <c r="BC12" s="4">
        <v>2048</v>
      </c>
      <c r="BD12" s="3" t="s">
        <v>130</v>
      </c>
      <c r="BE12" s="4">
        <v>176947200</v>
      </c>
      <c r="BF12" s="3">
        <v>0</v>
      </c>
      <c r="BG12" s="3">
        <v>98.95</v>
      </c>
      <c r="BH12" s="3" t="s">
        <v>129</v>
      </c>
      <c r="BI12" s="3">
        <v>3711.7</v>
      </c>
      <c r="BJ12" s="4">
        <v>3751</v>
      </c>
      <c r="BK12" s="3">
        <v>10488.4</v>
      </c>
      <c r="BL12" s="3">
        <v>11571.5</v>
      </c>
      <c r="BM12" s="3">
        <v>289.29000000000002</v>
      </c>
      <c r="BN12" s="3">
        <v>7820.4</v>
      </c>
      <c r="BO12" s="3">
        <v>67.58</v>
      </c>
      <c r="BP12" s="3">
        <v>15.292</v>
      </c>
      <c r="BQ12" s="3">
        <v>30.582999999999998</v>
      </c>
      <c r="BR12" s="3">
        <v>86.42</v>
      </c>
      <c r="BS12" s="3">
        <v>37.701999999999998</v>
      </c>
      <c r="BT12" s="3">
        <v>32.469499999999996</v>
      </c>
      <c r="BU12" s="3">
        <v>5.2329999999999997</v>
      </c>
      <c r="BV12" s="3">
        <v>436.267</v>
      </c>
      <c r="BW12" s="3">
        <v>375.71899999999999</v>
      </c>
      <c r="BX12" s="3">
        <v>60.548000000000002</v>
      </c>
      <c r="BY12" s="3">
        <v>2.4655</v>
      </c>
      <c r="BZ12" s="3">
        <v>0.99970000000000003</v>
      </c>
      <c r="CA12" s="3">
        <v>1</v>
      </c>
      <c r="CB12" s="3">
        <v>3</v>
      </c>
      <c r="CC12" s="4">
        <v>10372</v>
      </c>
      <c r="CD12" s="3">
        <v>120.02</v>
      </c>
      <c r="CE12" s="3">
        <v>336</v>
      </c>
      <c r="CF12" s="3">
        <v>0.23</v>
      </c>
      <c r="CG12" s="3">
        <v>0.77200000000000002</v>
      </c>
      <c r="CH12" s="3">
        <v>2.181</v>
      </c>
      <c r="CI12" s="3">
        <v>7.7999999999999996E-3</v>
      </c>
      <c r="CJ12" s="3">
        <v>100</v>
      </c>
      <c r="CK12" s="3" t="s">
        <v>131</v>
      </c>
      <c r="CL12" s="3">
        <v>11942.1</v>
      </c>
      <c r="CM12" s="3">
        <v>12203.2</v>
      </c>
      <c r="CN12" s="3">
        <v>3.86</v>
      </c>
      <c r="CO12" s="3" t="s">
        <v>107</v>
      </c>
      <c r="CP12" s="3" t="s">
        <v>256</v>
      </c>
      <c r="CQ12" s="3">
        <v>3</v>
      </c>
      <c r="CR12" s="3">
        <v>3.45</v>
      </c>
      <c r="CS12" s="3">
        <v>3.94</v>
      </c>
      <c r="CT12" s="3">
        <v>0</v>
      </c>
      <c r="CU12" s="3" t="s">
        <v>269</v>
      </c>
      <c r="CV12" s="3" t="s">
        <v>258</v>
      </c>
      <c r="CW12" s="3">
        <v>2</v>
      </c>
      <c r="CX12" s="3">
        <v>11.547000000000001</v>
      </c>
      <c r="CY12" s="3">
        <v>11.596</v>
      </c>
      <c r="CZ12" s="3">
        <v>2.4E-2</v>
      </c>
      <c r="DA12" s="3">
        <v>86.24</v>
      </c>
      <c r="DB12" s="3">
        <v>86.6</v>
      </c>
      <c r="DC12" s="3">
        <v>0.18</v>
      </c>
      <c r="DD12" s="3">
        <v>429.64400000000001</v>
      </c>
      <c r="DE12" s="3">
        <v>442.858</v>
      </c>
      <c r="DF12" s="3">
        <v>6.6070000000000002</v>
      </c>
      <c r="DG12" s="3">
        <v>2.4281000000000001</v>
      </c>
      <c r="DH12" s="3">
        <v>2.5028000000000001</v>
      </c>
      <c r="DI12" s="3">
        <v>3.73E-2</v>
      </c>
      <c r="DJ12" s="3">
        <v>4.6059999999999999</v>
      </c>
      <c r="DK12" s="3">
        <v>5.859</v>
      </c>
      <c r="DL12" s="3">
        <v>32.445999999999998</v>
      </c>
      <c r="DM12" s="3">
        <v>32.493000000000002</v>
      </c>
    </row>
    <row r="13" spans="1:117" x14ac:dyDescent="0.35">
      <c r="A13" s="3" t="s">
        <v>132</v>
      </c>
      <c r="B13" s="3" t="s">
        <v>103</v>
      </c>
      <c r="G13" s="3">
        <v>2.8029999999999999</v>
      </c>
      <c r="H13" s="3">
        <v>9.2370000000000001</v>
      </c>
      <c r="O13" s="3">
        <v>402.71499999999997</v>
      </c>
      <c r="P13" s="3">
        <v>53.723999999999997</v>
      </c>
      <c r="U13" s="3">
        <v>12.04</v>
      </c>
      <c r="Y13" s="3">
        <v>83.05</v>
      </c>
      <c r="AC13" s="3">
        <v>14.696</v>
      </c>
      <c r="AG13" s="3">
        <v>456.44</v>
      </c>
      <c r="AK13" s="3">
        <v>2.5794999999999999</v>
      </c>
      <c r="AO13" s="3">
        <v>33.447000000000003</v>
      </c>
      <c r="AS13" s="3">
        <v>0.254</v>
      </c>
      <c r="AU13" s="3" t="s">
        <v>117</v>
      </c>
      <c r="AV13" s="3" t="s">
        <v>115</v>
      </c>
      <c r="AW13" s="3">
        <v>2</v>
      </c>
      <c r="AX13" s="3">
        <v>24</v>
      </c>
      <c r="AY13" s="3">
        <v>332</v>
      </c>
      <c r="AZ13" s="3">
        <v>96</v>
      </c>
      <c r="BA13" s="3">
        <v>40</v>
      </c>
      <c r="BB13" s="4">
        <v>9216</v>
      </c>
      <c r="BC13" s="4">
        <v>2048</v>
      </c>
      <c r="BD13" s="3" t="s">
        <v>112</v>
      </c>
      <c r="BE13" s="4">
        <v>176947200</v>
      </c>
      <c r="BF13" s="3">
        <v>0</v>
      </c>
      <c r="BG13" s="3">
        <v>99.43</v>
      </c>
      <c r="BH13" s="3" t="s">
        <v>262</v>
      </c>
      <c r="BI13" s="3">
        <v>2787.5</v>
      </c>
      <c r="BJ13" s="3">
        <v>2803.4</v>
      </c>
      <c r="BK13" s="3">
        <v>10781.9</v>
      </c>
      <c r="BL13" s="3">
        <v>12040.4</v>
      </c>
      <c r="BM13" s="3">
        <v>301.01</v>
      </c>
      <c r="BN13" s="4">
        <v>9237</v>
      </c>
      <c r="BO13" s="3">
        <v>76.72</v>
      </c>
      <c r="BP13" s="3">
        <v>14.696</v>
      </c>
      <c r="BQ13" s="3">
        <v>29.391999999999999</v>
      </c>
      <c r="BR13" s="3">
        <v>83.05</v>
      </c>
      <c r="BS13" s="3">
        <v>37.908999999999999</v>
      </c>
      <c r="BT13" s="3">
        <v>33.447000000000003</v>
      </c>
      <c r="BU13" s="3">
        <v>4.4619999999999997</v>
      </c>
      <c r="BV13" s="3">
        <v>456.44</v>
      </c>
      <c r="BW13" s="3">
        <v>402.71499999999997</v>
      </c>
      <c r="BX13" s="3">
        <v>53.723999999999997</v>
      </c>
      <c r="BY13" s="3">
        <v>2.5794999999999999</v>
      </c>
      <c r="BZ13" s="3">
        <v>0.99990000000000001</v>
      </c>
      <c r="CA13" s="3">
        <v>1</v>
      </c>
      <c r="CB13" s="3">
        <v>3</v>
      </c>
      <c r="CC13" s="4">
        <v>9968</v>
      </c>
      <c r="CD13" s="3">
        <v>120.01</v>
      </c>
      <c r="CE13" s="3">
        <v>528</v>
      </c>
      <c r="CF13" s="3">
        <v>0.254</v>
      </c>
      <c r="CG13" s="3">
        <v>0.86299999999999999</v>
      </c>
      <c r="CH13" s="3">
        <v>1.9830000000000001</v>
      </c>
      <c r="CI13" s="3">
        <v>2.92E-2</v>
      </c>
      <c r="CJ13" s="3">
        <v>100</v>
      </c>
      <c r="CK13" s="3" t="s">
        <v>134</v>
      </c>
      <c r="CL13" s="3">
        <v>12737.8</v>
      </c>
      <c r="CM13" s="3">
        <v>13094.8</v>
      </c>
      <c r="CN13" s="3">
        <v>5.91</v>
      </c>
      <c r="CO13" s="3" t="s">
        <v>107</v>
      </c>
      <c r="CP13" s="3" t="s">
        <v>256</v>
      </c>
      <c r="CQ13" s="3">
        <v>3.43</v>
      </c>
      <c r="CR13" s="3">
        <v>3.63</v>
      </c>
      <c r="CS13" s="3">
        <v>4.2</v>
      </c>
      <c r="CT13" s="3">
        <v>0</v>
      </c>
      <c r="CU13" s="3" t="s">
        <v>270</v>
      </c>
      <c r="CV13" s="3" t="s">
        <v>258</v>
      </c>
      <c r="CW13" s="3">
        <v>2</v>
      </c>
      <c r="CX13" s="3">
        <v>11.933999999999999</v>
      </c>
      <c r="CY13" s="3">
        <v>12.146000000000001</v>
      </c>
      <c r="CZ13" s="3">
        <v>0.106</v>
      </c>
      <c r="DA13" s="3">
        <v>82.33</v>
      </c>
      <c r="DB13" s="3">
        <v>83.79</v>
      </c>
      <c r="DC13" s="3">
        <v>0.73</v>
      </c>
      <c r="DD13" s="3">
        <v>452.37299999999999</v>
      </c>
      <c r="DE13" s="3">
        <v>460.50599999999997</v>
      </c>
      <c r="DF13" s="3">
        <v>4.0670000000000002</v>
      </c>
      <c r="DG13" s="3">
        <v>2.5565000000000002</v>
      </c>
      <c r="DH13" s="3">
        <v>2.6025</v>
      </c>
      <c r="DI13" s="3">
        <v>2.3E-2</v>
      </c>
      <c r="DJ13" s="3">
        <v>4.4059999999999997</v>
      </c>
      <c r="DK13" s="3">
        <v>4.5179999999999998</v>
      </c>
      <c r="DL13" s="3">
        <v>33.395000000000003</v>
      </c>
      <c r="DM13" s="3">
        <v>33.499000000000002</v>
      </c>
    </row>
    <row r="14" spans="1:117" x14ac:dyDescent="0.35">
      <c r="A14" s="3" t="s">
        <v>135</v>
      </c>
      <c r="B14" s="3" t="s">
        <v>103</v>
      </c>
      <c r="I14" s="3">
        <v>2.7639999999999998</v>
      </c>
      <c r="J14" s="3">
        <v>8.5820000000000007</v>
      </c>
      <c r="Q14" s="3">
        <v>377.13900000000001</v>
      </c>
      <c r="R14" s="3">
        <v>70.772999999999996</v>
      </c>
      <c r="V14" s="3">
        <v>11.346</v>
      </c>
      <c r="Z14" s="3">
        <v>88.13</v>
      </c>
      <c r="AD14" s="3">
        <v>15.595000000000001</v>
      </c>
      <c r="AH14" s="3">
        <v>447.91199999999998</v>
      </c>
      <c r="AL14" s="3">
        <v>2.5312999999999999</v>
      </c>
      <c r="AP14" s="3">
        <v>33.238999999999997</v>
      </c>
      <c r="AT14" s="3">
        <v>0.254</v>
      </c>
      <c r="AU14" s="3" t="s">
        <v>122</v>
      </c>
      <c r="AV14" s="3" t="s">
        <v>115</v>
      </c>
      <c r="AW14" s="3">
        <v>2</v>
      </c>
      <c r="AX14" s="3">
        <v>24</v>
      </c>
      <c r="AY14" s="3">
        <v>339</v>
      </c>
      <c r="AZ14" s="3">
        <v>96</v>
      </c>
      <c r="BA14" s="3">
        <v>40</v>
      </c>
      <c r="BB14" s="4">
        <v>9216</v>
      </c>
      <c r="BC14" s="4">
        <v>2048</v>
      </c>
      <c r="BD14" s="3" t="s">
        <v>112</v>
      </c>
      <c r="BE14" s="4">
        <v>176947200</v>
      </c>
      <c r="BF14" s="3">
        <v>0</v>
      </c>
      <c r="BG14" s="3">
        <v>98.75</v>
      </c>
      <c r="BH14" s="3" t="s">
        <v>262</v>
      </c>
      <c r="BI14" s="3">
        <v>2729.9</v>
      </c>
      <c r="BJ14" s="3">
        <v>2764.5</v>
      </c>
      <c r="BK14" s="3">
        <v>10320.5</v>
      </c>
      <c r="BL14" s="3">
        <v>11346.5</v>
      </c>
      <c r="BM14" s="3">
        <v>283.66000000000003</v>
      </c>
      <c r="BN14" s="4">
        <v>8582</v>
      </c>
      <c r="BO14" s="3">
        <v>75.64</v>
      </c>
      <c r="BP14" s="3">
        <v>15.595000000000001</v>
      </c>
      <c r="BQ14" s="3">
        <v>31.19</v>
      </c>
      <c r="BR14" s="3">
        <v>88.13</v>
      </c>
      <c r="BS14" s="3">
        <v>39.475999999999999</v>
      </c>
      <c r="BT14" s="3">
        <v>33.238500000000002</v>
      </c>
      <c r="BU14" s="3">
        <v>6.2370000000000001</v>
      </c>
      <c r="BV14" s="3">
        <v>447.91199999999998</v>
      </c>
      <c r="BW14" s="3">
        <v>377.13900000000001</v>
      </c>
      <c r="BX14" s="3">
        <v>70.772999999999996</v>
      </c>
      <c r="BY14" s="3">
        <v>2.5312999999999999</v>
      </c>
      <c r="BZ14" s="3">
        <v>0.99990000000000001</v>
      </c>
      <c r="CA14" s="3">
        <v>1</v>
      </c>
      <c r="CB14" s="3">
        <v>3</v>
      </c>
      <c r="CC14" s="4">
        <v>10578</v>
      </c>
      <c r="CD14" s="3">
        <v>120.01</v>
      </c>
      <c r="CE14" s="3">
        <v>528</v>
      </c>
      <c r="CF14" s="3">
        <v>0.254</v>
      </c>
      <c r="CG14" s="3">
        <v>0.86299999999999999</v>
      </c>
      <c r="CH14" s="3">
        <v>1.9830000000000001</v>
      </c>
      <c r="CI14" s="3">
        <v>2.92E-2</v>
      </c>
      <c r="CJ14" s="3">
        <v>100</v>
      </c>
      <c r="CK14" s="3" t="s">
        <v>134</v>
      </c>
      <c r="CL14" s="3">
        <v>11631.6</v>
      </c>
      <c r="CM14" s="3">
        <v>12082.9</v>
      </c>
      <c r="CN14" s="3">
        <v>6.39</v>
      </c>
      <c r="CO14" s="3" t="s">
        <v>107</v>
      </c>
      <c r="CP14" s="3" t="s">
        <v>256</v>
      </c>
      <c r="CQ14" s="3">
        <v>3.74</v>
      </c>
      <c r="CR14" s="3">
        <v>3.72</v>
      </c>
      <c r="CS14" s="3">
        <v>4.07</v>
      </c>
      <c r="CT14" s="3">
        <v>0</v>
      </c>
      <c r="CU14" s="3" t="s">
        <v>271</v>
      </c>
      <c r="CV14" s="3" t="s">
        <v>258</v>
      </c>
      <c r="CW14" s="3">
        <v>2</v>
      </c>
      <c r="CX14" s="3">
        <v>11.223000000000001</v>
      </c>
      <c r="CY14" s="3">
        <v>11.47</v>
      </c>
      <c r="CZ14" s="3">
        <v>0.124</v>
      </c>
      <c r="DA14" s="3">
        <v>87.18</v>
      </c>
      <c r="DB14" s="3">
        <v>89.11</v>
      </c>
      <c r="DC14" s="3">
        <v>0.96</v>
      </c>
      <c r="DD14" s="3">
        <v>440.94099999999997</v>
      </c>
      <c r="DE14" s="3">
        <v>454.62799999999999</v>
      </c>
      <c r="DF14" s="3">
        <v>6.843</v>
      </c>
      <c r="DG14" s="3">
        <v>2.4918999999999998</v>
      </c>
      <c r="DH14" s="3">
        <v>2.5693000000000001</v>
      </c>
      <c r="DI14" s="3">
        <v>3.8699999999999998E-2</v>
      </c>
      <c r="DJ14" s="3">
        <v>5.1529999999999996</v>
      </c>
      <c r="DK14" s="3">
        <v>7.3220000000000001</v>
      </c>
      <c r="DL14" s="3">
        <v>33.188000000000002</v>
      </c>
      <c r="DM14" s="3">
        <v>33.289000000000001</v>
      </c>
    </row>
    <row r="15" spans="1:117" x14ac:dyDescent="0.35">
      <c r="A15" s="3" t="s">
        <v>133</v>
      </c>
      <c r="B15" s="3" t="s">
        <v>103</v>
      </c>
      <c r="E15" s="3">
        <v>2.7490000000000001</v>
      </c>
      <c r="F15" s="3">
        <v>9.3320000000000007</v>
      </c>
      <c r="M15" s="3">
        <v>405.85700000000003</v>
      </c>
      <c r="N15" s="3">
        <v>65.042000000000002</v>
      </c>
      <c r="T15" s="3">
        <v>12.081</v>
      </c>
      <c r="X15" s="3">
        <v>82.78</v>
      </c>
      <c r="AB15" s="3">
        <v>14.647</v>
      </c>
      <c r="AF15" s="3">
        <v>470.9</v>
      </c>
      <c r="AJ15" s="3">
        <v>2.6612</v>
      </c>
      <c r="AN15" s="3">
        <v>33.595999999999997</v>
      </c>
      <c r="AR15" s="3">
        <v>0.254</v>
      </c>
      <c r="AU15" s="3" t="s">
        <v>111</v>
      </c>
      <c r="AV15" s="3" t="s">
        <v>115</v>
      </c>
      <c r="AW15" s="3">
        <v>2</v>
      </c>
      <c r="AX15" s="3">
        <v>26</v>
      </c>
      <c r="AY15" s="3">
        <v>341</v>
      </c>
      <c r="AZ15" s="3">
        <v>96</v>
      </c>
      <c r="BA15" s="3">
        <v>40</v>
      </c>
      <c r="BB15" s="4">
        <v>9216</v>
      </c>
      <c r="BC15" s="4">
        <v>2048</v>
      </c>
      <c r="BD15" s="3" t="s">
        <v>112</v>
      </c>
      <c r="BE15" s="4">
        <v>176947200</v>
      </c>
      <c r="BF15" s="3">
        <v>0</v>
      </c>
      <c r="BG15" s="3">
        <v>98.73</v>
      </c>
      <c r="BH15" s="3" t="s">
        <v>133</v>
      </c>
      <c r="BI15" s="3">
        <v>2713.9</v>
      </c>
      <c r="BJ15" s="3">
        <v>2748.8</v>
      </c>
      <c r="BK15" s="3">
        <v>10843.5</v>
      </c>
      <c r="BL15" s="3">
        <v>12080.7</v>
      </c>
      <c r="BM15" s="3">
        <v>302.02</v>
      </c>
      <c r="BN15" s="3">
        <v>9331.9</v>
      </c>
      <c r="BO15" s="3">
        <v>77.25</v>
      </c>
      <c r="BP15" s="3">
        <v>14.647</v>
      </c>
      <c r="BQ15" s="3">
        <v>29.294</v>
      </c>
      <c r="BR15" s="3">
        <v>82.78</v>
      </c>
      <c r="BS15" s="3">
        <v>38.979500000000002</v>
      </c>
      <c r="BT15" s="3">
        <v>33.595500000000001</v>
      </c>
      <c r="BU15" s="3">
        <v>5.3840000000000003</v>
      </c>
      <c r="BV15" s="3">
        <v>470.9</v>
      </c>
      <c r="BW15" s="3">
        <v>405.85700000000003</v>
      </c>
      <c r="BX15" s="3">
        <v>65.042000000000002</v>
      </c>
      <c r="BY15" s="3">
        <v>2.6612</v>
      </c>
      <c r="BZ15" s="3">
        <v>0.99990000000000001</v>
      </c>
      <c r="CA15" s="3">
        <v>1</v>
      </c>
      <c r="CB15" s="3">
        <v>3</v>
      </c>
      <c r="CC15" s="4">
        <v>9934</v>
      </c>
      <c r="CD15" s="3">
        <v>120</v>
      </c>
      <c r="CE15" s="3">
        <v>528</v>
      </c>
      <c r="CF15" s="3">
        <v>0.254</v>
      </c>
      <c r="CG15" s="3">
        <v>0.86299999999999999</v>
      </c>
      <c r="CH15" s="3">
        <v>1.9830000000000001</v>
      </c>
      <c r="CI15" s="3">
        <v>2.92E-2</v>
      </c>
      <c r="CJ15" s="3">
        <v>100</v>
      </c>
      <c r="CK15" s="3" t="s">
        <v>134</v>
      </c>
      <c r="CL15" s="3">
        <v>12675.6</v>
      </c>
      <c r="CM15" s="3">
        <v>12954.2</v>
      </c>
      <c r="CN15" s="3">
        <v>5.43</v>
      </c>
      <c r="CO15" s="3" t="s">
        <v>107</v>
      </c>
      <c r="CP15" s="3" t="s">
        <v>256</v>
      </c>
      <c r="CQ15" s="3">
        <v>3.3</v>
      </c>
      <c r="CR15" s="3">
        <v>3.39</v>
      </c>
      <c r="CS15" s="3">
        <v>3.99</v>
      </c>
      <c r="CT15" s="3">
        <v>0</v>
      </c>
      <c r="CU15" s="3" t="s">
        <v>272</v>
      </c>
      <c r="CV15" s="3" t="s">
        <v>258</v>
      </c>
      <c r="CW15" s="3">
        <v>2</v>
      </c>
      <c r="CX15" s="3">
        <v>11.976000000000001</v>
      </c>
      <c r="CY15" s="3">
        <v>12.185</v>
      </c>
      <c r="CZ15" s="3">
        <v>0.105</v>
      </c>
      <c r="DA15" s="3">
        <v>82.07</v>
      </c>
      <c r="DB15" s="3">
        <v>83.5</v>
      </c>
      <c r="DC15" s="3">
        <v>0.72</v>
      </c>
      <c r="DD15" s="3">
        <v>468.47699999999998</v>
      </c>
      <c r="DE15" s="3">
        <v>473.29300000000001</v>
      </c>
      <c r="DF15" s="3">
        <v>2.4079999999999999</v>
      </c>
      <c r="DG15" s="3">
        <v>2.6476000000000002</v>
      </c>
      <c r="DH15" s="3">
        <v>2.6747999999999998</v>
      </c>
      <c r="DI15" s="3">
        <v>1.3599999999999999E-2</v>
      </c>
      <c r="DJ15" s="3">
        <v>5.3760000000000003</v>
      </c>
      <c r="DK15" s="3">
        <v>5.3920000000000003</v>
      </c>
      <c r="DL15" s="3">
        <v>33.465000000000003</v>
      </c>
      <c r="DM15" s="3">
        <v>33.725999999999999</v>
      </c>
    </row>
    <row r="16" spans="1:117" x14ac:dyDescent="0.35">
      <c r="A16" s="3" t="s">
        <v>136</v>
      </c>
      <c r="B16" s="3" t="s">
        <v>103</v>
      </c>
      <c r="G16" s="3">
        <v>4.1079999999999997</v>
      </c>
      <c r="H16" s="3">
        <v>9.5190000000000001</v>
      </c>
      <c r="O16" s="3">
        <v>455.38400000000001</v>
      </c>
      <c r="P16" s="3">
        <v>50.862000000000002</v>
      </c>
      <c r="U16" s="3">
        <v>13.627000000000001</v>
      </c>
      <c r="Y16" s="3">
        <v>73.38</v>
      </c>
      <c r="AC16" s="3">
        <v>12.984999999999999</v>
      </c>
      <c r="AG16" s="3">
        <v>506.24599999999998</v>
      </c>
      <c r="AK16" s="3">
        <v>2.8610000000000002</v>
      </c>
      <c r="AO16" s="3">
        <v>33.417999999999999</v>
      </c>
      <c r="AS16" s="3">
        <v>0.21</v>
      </c>
      <c r="AU16" s="3" t="s">
        <v>117</v>
      </c>
      <c r="AV16" s="3" t="s">
        <v>109</v>
      </c>
      <c r="AW16" s="3">
        <v>3</v>
      </c>
      <c r="AX16" s="3">
        <v>26</v>
      </c>
      <c r="AY16" s="3">
        <v>321</v>
      </c>
      <c r="AZ16" s="3">
        <v>96</v>
      </c>
      <c r="BA16" s="3">
        <v>40</v>
      </c>
      <c r="BB16" s="4">
        <v>9216</v>
      </c>
      <c r="BC16" s="4">
        <v>2048</v>
      </c>
      <c r="BD16" s="3" t="s">
        <v>118</v>
      </c>
      <c r="BE16" s="4">
        <v>176947200</v>
      </c>
      <c r="BF16" s="3">
        <v>0</v>
      </c>
      <c r="BG16" s="3">
        <v>70.180000000000007</v>
      </c>
      <c r="BH16" s="3" t="s">
        <v>262</v>
      </c>
      <c r="BI16" s="4">
        <v>2883</v>
      </c>
      <c r="BJ16" s="4">
        <v>4108</v>
      </c>
      <c r="BK16" s="4">
        <v>12464</v>
      </c>
      <c r="BL16" s="3">
        <v>13626.9</v>
      </c>
      <c r="BM16" s="3">
        <v>340.67</v>
      </c>
      <c r="BN16" s="3">
        <v>9518.9</v>
      </c>
      <c r="BO16" s="3">
        <v>69.849999999999994</v>
      </c>
      <c r="BP16" s="3">
        <v>12.984999999999999</v>
      </c>
      <c r="BQ16" s="3">
        <v>25.97</v>
      </c>
      <c r="BR16" s="3">
        <v>73.38</v>
      </c>
      <c r="BS16" s="3">
        <v>37.150500000000001</v>
      </c>
      <c r="BT16" s="3">
        <v>33.417999999999999</v>
      </c>
      <c r="BU16" s="3">
        <v>3.7330000000000001</v>
      </c>
      <c r="BV16" s="3">
        <v>506.24599999999998</v>
      </c>
      <c r="BW16" s="3">
        <v>455.38400000000001</v>
      </c>
      <c r="BX16" s="3">
        <v>50.862000000000002</v>
      </c>
      <c r="BY16" s="3">
        <v>2.8610000000000002</v>
      </c>
      <c r="BZ16" s="3">
        <v>0.99980000000000002</v>
      </c>
      <c r="CA16" s="3">
        <v>1</v>
      </c>
      <c r="CB16" s="3">
        <v>3</v>
      </c>
      <c r="CC16" s="4">
        <v>8807</v>
      </c>
      <c r="CD16" s="3">
        <v>120.01</v>
      </c>
      <c r="CE16" s="3">
        <v>512</v>
      </c>
      <c r="CF16" s="3">
        <v>0.21</v>
      </c>
      <c r="CG16" s="3">
        <v>0.83899999999999997</v>
      </c>
      <c r="CH16" s="3">
        <v>2.5720000000000001</v>
      </c>
      <c r="CI16" s="3">
        <v>-1.66E-2</v>
      </c>
      <c r="CJ16" s="3">
        <v>100</v>
      </c>
      <c r="CK16" s="3" t="s">
        <v>138</v>
      </c>
      <c r="CL16" s="3">
        <v>14044.7</v>
      </c>
      <c r="CM16" s="3">
        <v>14228.2</v>
      </c>
      <c r="CN16" s="3">
        <v>2.6</v>
      </c>
      <c r="CO16" s="3" t="s">
        <v>107</v>
      </c>
      <c r="CP16" s="3" t="s">
        <v>256</v>
      </c>
      <c r="CQ16" s="3">
        <v>3.44</v>
      </c>
      <c r="CR16" s="3">
        <v>3.85</v>
      </c>
      <c r="CS16" s="3">
        <v>4.82</v>
      </c>
      <c r="CT16" s="3">
        <v>0</v>
      </c>
      <c r="CU16" s="3" t="s">
        <v>273</v>
      </c>
      <c r="CV16" s="3" t="s">
        <v>258</v>
      </c>
      <c r="CW16" s="3">
        <v>2</v>
      </c>
      <c r="CX16" s="3">
        <v>13.582000000000001</v>
      </c>
      <c r="CY16" s="3">
        <v>13.672000000000001</v>
      </c>
      <c r="CZ16" s="3">
        <v>4.4999999999999998E-2</v>
      </c>
      <c r="DA16" s="3">
        <v>73.14</v>
      </c>
      <c r="DB16" s="3">
        <v>73.63</v>
      </c>
      <c r="DC16" s="3">
        <v>0.24</v>
      </c>
      <c r="DD16" s="3">
        <v>501.12400000000002</v>
      </c>
      <c r="DE16" s="3">
        <v>511.39100000000002</v>
      </c>
      <c r="DF16" s="3">
        <v>5.1340000000000003</v>
      </c>
      <c r="DG16" s="3">
        <v>2.8321000000000001</v>
      </c>
      <c r="DH16" s="3">
        <v>2.8900999999999999</v>
      </c>
      <c r="DI16" s="3">
        <v>2.9000000000000001E-2</v>
      </c>
      <c r="DJ16" s="3">
        <v>3.532</v>
      </c>
      <c r="DK16" s="3">
        <v>3.9329999999999998</v>
      </c>
      <c r="DL16" s="3">
        <v>33.365000000000002</v>
      </c>
      <c r="DM16" s="3">
        <v>33.470999999999997</v>
      </c>
    </row>
    <row r="17" spans="1:117" x14ac:dyDescent="0.35">
      <c r="A17" s="3" t="s">
        <v>139</v>
      </c>
      <c r="B17" s="3" t="s">
        <v>103</v>
      </c>
      <c r="I17" s="3">
        <v>2.7229999999999999</v>
      </c>
      <c r="J17" s="3">
        <v>9.1069999999999993</v>
      </c>
      <c r="Q17" s="3">
        <v>398.24299999999999</v>
      </c>
      <c r="R17" s="3">
        <v>54.594000000000001</v>
      </c>
      <c r="V17" s="3">
        <v>11.83</v>
      </c>
      <c r="Z17" s="3">
        <v>84.53</v>
      </c>
      <c r="AD17" s="3">
        <v>14.958</v>
      </c>
      <c r="AH17" s="3">
        <v>452.83699999999999</v>
      </c>
      <c r="AL17" s="3">
        <v>2.5592000000000001</v>
      </c>
      <c r="AP17" s="3">
        <v>33.664000000000001</v>
      </c>
      <c r="AT17" s="3">
        <v>0.23799999999999999</v>
      </c>
      <c r="AU17" s="3" t="s">
        <v>122</v>
      </c>
      <c r="AV17" s="3" t="s">
        <v>105</v>
      </c>
      <c r="AW17" s="3">
        <v>6</v>
      </c>
      <c r="AX17" s="3">
        <v>26</v>
      </c>
      <c r="AY17" s="3">
        <v>343</v>
      </c>
      <c r="AZ17" s="3">
        <v>96</v>
      </c>
      <c r="BA17" s="3">
        <v>40</v>
      </c>
      <c r="BB17" s="4">
        <v>9216</v>
      </c>
      <c r="BC17" s="4">
        <v>2048</v>
      </c>
      <c r="BD17" s="3" t="s">
        <v>140</v>
      </c>
      <c r="BE17" s="4">
        <v>176947200</v>
      </c>
      <c r="BF17" s="3">
        <v>0</v>
      </c>
      <c r="BG17" s="3">
        <v>99.1</v>
      </c>
      <c r="BH17" s="3" t="s">
        <v>262</v>
      </c>
      <c r="BI17" s="3">
        <v>2698.1</v>
      </c>
      <c r="BJ17" s="3">
        <v>2722.6</v>
      </c>
      <c r="BK17" s="3">
        <v>10808.2</v>
      </c>
      <c r="BL17" s="3">
        <v>11829.8</v>
      </c>
      <c r="BM17" s="3">
        <v>295.74</v>
      </c>
      <c r="BN17" s="3">
        <v>9107.2000000000007</v>
      </c>
      <c r="BO17" s="3">
        <v>76.989999999999995</v>
      </c>
      <c r="BP17" s="3">
        <v>14.958</v>
      </c>
      <c r="BQ17" s="3">
        <v>29.916</v>
      </c>
      <c r="BR17" s="3">
        <v>84.53</v>
      </c>
      <c r="BS17" s="3">
        <v>38.279499999999999</v>
      </c>
      <c r="BT17" s="3">
        <v>33.664499999999997</v>
      </c>
      <c r="BU17" s="3">
        <v>4.6150000000000002</v>
      </c>
      <c r="BV17" s="3">
        <v>452.83699999999999</v>
      </c>
      <c r="BW17" s="3">
        <v>398.24299999999999</v>
      </c>
      <c r="BX17" s="3">
        <v>54.594000000000001</v>
      </c>
      <c r="BY17" s="3">
        <v>2.5592000000000001</v>
      </c>
      <c r="BZ17" s="3">
        <v>0.99939999999999996</v>
      </c>
      <c r="CA17" s="3">
        <v>1</v>
      </c>
      <c r="CB17" s="3">
        <v>3</v>
      </c>
      <c r="CC17" s="4">
        <v>10144</v>
      </c>
      <c r="CD17" s="3">
        <v>120</v>
      </c>
      <c r="CE17" s="3">
        <v>496</v>
      </c>
      <c r="CF17" s="3">
        <v>0.23799999999999999</v>
      </c>
      <c r="CG17" s="3">
        <v>0.84299999999999997</v>
      </c>
      <c r="CH17" s="3">
        <v>2.2200000000000002</v>
      </c>
      <c r="CI17" s="3">
        <v>-7.6E-3</v>
      </c>
      <c r="CJ17" s="3">
        <v>100</v>
      </c>
      <c r="CK17" s="3" t="s">
        <v>141</v>
      </c>
      <c r="CL17" s="4">
        <v>12373</v>
      </c>
      <c r="CM17" s="3">
        <v>12835.7</v>
      </c>
      <c r="CN17" s="3">
        <v>7.14</v>
      </c>
      <c r="CO17" s="3" t="s">
        <v>107</v>
      </c>
      <c r="CP17" s="3" t="s">
        <v>256</v>
      </c>
      <c r="CQ17" s="3">
        <v>2.95</v>
      </c>
      <c r="CR17" s="3">
        <v>3.81</v>
      </c>
      <c r="CS17" s="3">
        <v>4.7699999999999996</v>
      </c>
      <c r="CT17" s="3">
        <v>0</v>
      </c>
      <c r="CU17" s="3" t="s">
        <v>274</v>
      </c>
      <c r="CV17" s="3" t="s">
        <v>258</v>
      </c>
      <c r="CW17" s="3">
        <v>2</v>
      </c>
      <c r="CX17" s="3">
        <v>11.82</v>
      </c>
      <c r="CY17" s="3">
        <v>11.839</v>
      </c>
      <c r="CZ17" s="3">
        <v>8.9999999999999993E-3</v>
      </c>
      <c r="DA17" s="3">
        <v>84.47</v>
      </c>
      <c r="DB17" s="3">
        <v>84.6</v>
      </c>
      <c r="DC17" s="3">
        <v>7.0000000000000007E-2</v>
      </c>
      <c r="DD17" s="3">
        <v>442.49</v>
      </c>
      <c r="DE17" s="3">
        <v>463.16699999999997</v>
      </c>
      <c r="DF17" s="3">
        <v>10.337999999999999</v>
      </c>
      <c r="DG17" s="3">
        <v>2.5007000000000001</v>
      </c>
      <c r="DH17" s="3">
        <v>2.6175000000000002</v>
      </c>
      <c r="DI17" s="3">
        <v>5.8400000000000001E-2</v>
      </c>
      <c r="DJ17" s="3">
        <v>3.6059999999999999</v>
      </c>
      <c r="DK17" s="3">
        <v>5.6239999999999997</v>
      </c>
      <c r="DL17" s="3">
        <v>33.56</v>
      </c>
      <c r="DM17" s="3">
        <v>33.768999999999998</v>
      </c>
    </row>
    <row r="18" spans="1:117" x14ac:dyDescent="0.35">
      <c r="A18" s="3" t="s">
        <v>142</v>
      </c>
      <c r="B18" s="3" t="s">
        <v>103</v>
      </c>
      <c r="I18" s="3">
        <v>2.7629999999999999</v>
      </c>
      <c r="J18" s="3">
        <v>9.3699999999999992</v>
      </c>
      <c r="Q18" s="3">
        <v>404.60899999999998</v>
      </c>
      <c r="R18" s="3">
        <v>58.232999999999997</v>
      </c>
      <c r="V18" s="3">
        <v>12.132999999999999</v>
      </c>
      <c r="Z18" s="3">
        <v>82.42</v>
      </c>
      <c r="AD18" s="3">
        <v>14.584</v>
      </c>
      <c r="AH18" s="3">
        <v>462.84100000000001</v>
      </c>
      <c r="AL18" s="3">
        <v>2.6156999999999999</v>
      </c>
      <c r="AP18" s="3">
        <v>33.347000000000001</v>
      </c>
      <c r="AT18" s="3">
        <v>0.21</v>
      </c>
      <c r="AU18" s="3" t="s">
        <v>122</v>
      </c>
      <c r="AV18" s="3" t="s">
        <v>109</v>
      </c>
      <c r="AW18" s="3">
        <v>3</v>
      </c>
      <c r="AX18" s="3">
        <v>26</v>
      </c>
      <c r="AY18" s="3">
        <v>337</v>
      </c>
      <c r="AZ18" s="3">
        <v>96</v>
      </c>
      <c r="BA18" s="3">
        <v>40</v>
      </c>
      <c r="BB18" s="4">
        <v>9216</v>
      </c>
      <c r="BC18" s="4">
        <v>2048</v>
      </c>
      <c r="BD18" s="3" t="s">
        <v>118</v>
      </c>
      <c r="BE18" s="4">
        <v>176947200</v>
      </c>
      <c r="BF18" s="3">
        <v>0</v>
      </c>
      <c r="BG18" s="3">
        <v>99.38</v>
      </c>
      <c r="BH18" s="3" t="s">
        <v>262</v>
      </c>
      <c r="BI18" s="3">
        <v>2746.1</v>
      </c>
      <c r="BJ18" s="3">
        <v>2763.2</v>
      </c>
      <c r="BK18" s="3">
        <v>11303.6</v>
      </c>
      <c r="BL18" s="3">
        <v>12133.1</v>
      </c>
      <c r="BM18" s="3">
        <v>303.33</v>
      </c>
      <c r="BN18" s="3">
        <v>9369.9</v>
      </c>
      <c r="BO18" s="3">
        <v>77.23</v>
      </c>
      <c r="BP18" s="3">
        <v>14.584</v>
      </c>
      <c r="BQ18" s="3">
        <v>29.167999999999999</v>
      </c>
      <c r="BR18" s="3">
        <v>82.42</v>
      </c>
      <c r="BS18" s="3">
        <v>38.146999999999998</v>
      </c>
      <c r="BT18" s="3">
        <v>33.347499999999997</v>
      </c>
      <c r="BU18" s="3">
        <v>4.8</v>
      </c>
      <c r="BV18" s="3">
        <v>462.84100000000001</v>
      </c>
      <c r="BW18" s="3">
        <v>404.60899999999998</v>
      </c>
      <c r="BX18" s="3">
        <v>58.232999999999997</v>
      </c>
      <c r="BY18" s="3">
        <v>2.6156999999999999</v>
      </c>
      <c r="BZ18" s="3">
        <v>0.99970000000000003</v>
      </c>
      <c r="CA18" s="3">
        <v>1</v>
      </c>
      <c r="CB18" s="3">
        <v>3</v>
      </c>
      <c r="CC18" s="4">
        <v>9892</v>
      </c>
      <c r="CD18" s="3">
        <v>120.02</v>
      </c>
      <c r="CE18" s="3">
        <v>512</v>
      </c>
      <c r="CF18" s="3">
        <v>0.21</v>
      </c>
      <c r="CG18" s="3">
        <v>0.83899999999999997</v>
      </c>
      <c r="CH18" s="3">
        <v>2.5720000000000001</v>
      </c>
      <c r="CI18" s="3">
        <v>-1.66E-2</v>
      </c>
      <c r="CJ18" s="3">
        <v>100</v>
      </c>
      <c r="CK18" s="3" t="s">
        <v>138</v>
      </c>
      <c r="CL18" s="4">
        <v>13014</v>
      </c>
      <c r="CM18" s="3">
        <v>13346.2</v>
      </c>
      <c r="CN18" s="3">
        <v>6.04</v>
      </c>
      <c r="CO18" s="3" t="s">
        <v>107</v>
      </c>
      <c r="CP18" s="3" t="s">
        <v>256</v>
      </c>
      <c r="CQ18" s="3">
        <v>3.93</v>
      </c>
      <c r="CR18" s="3">
        <v>3.94</v>
      </c>
      <c r="CS18" s="3">
        <v>4.1399999999999997</v>
      </c>
      <c r="CT18" s="3">
        <v>0</v>
      </c>
      <c r="CU18" s="3" t="s">
        <v>275</v>
      </c>
      <c r="CV18" s="3" t="s">
        <v>258</v>
      </c>
      <c r="CW18" s="3">
        <v>2</v>
      </c>
      <c r="CX18" s="3">
        <v>12.103999999999999</v>
      </c>
      <c r="CY18" s="3">
        <v>12.163</v>
      </c>
      <c r="CZ18" s="3">
        <v>0.03</v>
      </c>
      <c r="DA18" s="3">
        <v>82.22</v>
      </c>
      <c r="DB18" s="3">
        <v>82.62</v>
      </c>
      <c r="DC18" s="3">
        <v>0.2</v>
      </c>
      <c r="DD18" s="3">
        <v>455.01900000000001</v>
      </c>
      <c r="DE18" s="3">
        <v>470.69600000000003</v>
      </c>
      <c r="DF18" s="3">
        <v>7.8390000000000004</v>
      </c>
      <c r="DG18" s="3">
        <v>2.5714999999999999</v>
      </c>
      <c r="DH18" s="3">
        <v>2.6600999999999999</v>
      </c>
      <c r="DI18" s="3">
        <v>4.4299999999999999E-2</v>
      </c>
      <c r="DJ18" s="3">
        <v>4.2220000000000004</v>
      </c>
      <c r="DK18" s="3">
        <v>5.3769999999999998</v>
      </c>
      <c r="DL18" s="3">
        <v>33.323</v>
      </c>
      <c r="DM18" s="3">
        <v>33.372</v>
      </c>
    </row>
    <row r="19" spans="1:117" x14ac:dyDescent="0.35">
      <c r="A19" s="3" t="s">
        <v>143</v>
      </c>
      <c r="B19" s="3" t="s">
        <v>103</v>
      </c>
      <c r="E19" s="3">
        <v>3.4359999999999999</v>
      </c>
      <c r="F19" s="3">
        <v>9.7650000000000006</v>
      </c>
      <c r="M19" s="3">
        <v>440.745</v>
      </c>
      <c r="N19" s="3">
        <v>57.755000000000003</v>
      </c>
      <c r="T19" s="3">
        <v>13.201000000000001</v>
      </c>
      <c r="X19" s="3">
        <v>75.75</v>
      </c>
      <c r="AB19" s="3">
        <v>13.404</v>
      </c>
      <c r="AF19" s="3">
        <v>498.5</v>
      </c>
      <c r="AJ19" s="3">
        <v>2.8172000000000001</v>
      </c>
      <c r="AN19" s="3">
        <v>33.387</v>
      </c>
      <c r="AR19" s="3">
        <v>0.23300000000000001</v>
      </c>
      <c r="AU19" s="3" t="s">
        <v>111</v>
      </c>
      <c r="AV19" s="3" t="s">
        <v>105</v>
      </c>
      <c r="AW19" s="3">
        <v>5</v>
      </c>
      <c r="AX19" s="3">
        <v>30</v>
      </c>
      <c r="AY19" s="3">
        <v>329</v>
      </c>
      <c r="AZ19" s="3">
        <v>80</v>
      </c>
      <c r="BA19" s="3">
        <v>40</v>
      </c>
      <c r="BB19" s="4">
        <v>9216</v>
      </c>
      <c r="BC19" s="4">
        <v>2048</v>
      </c>
      <c r="BD19" s="3" t="s">
        <v>144</v>
      </c>
      <c r="BE19" s="4">
        <v>176947200</v>
      </c>
      <c r="BF19" s="3">
        <v>0</v>
      </c>
      <c r="BG19" s="3">
        <v>98.25</v>
      </c>
      <c r="BH19" s="3" t="s">
        <v>143</v>
      </c>
      <c r="BI19" s="3">
        <v>3375.7</v>
      </c>
      <c r="BJ19" s="3">
        <v>3435.8</v>
      </c>
      <c r="BK19" s="3">
        <v>11718.2</v>
      </c>
      <c r="BL19" s="3">
        <v>13201.1</v>
      </c>
      <c r="BM19" s="3">
        <v>330.03</v>
      </c>
      <c r="BN19" s="3">
        <v>9765.2999999999993</v>
      </c>
      <c r="BO19" s="3">
        <v>73.97</v>
      </c>
      <c r="BP19" s="3">
        <v>13.404</v>
      </c>
      <c r="BQ19" s="3">
        <v>26.808</v>
      </c>
      <c r="BR19" s="3">
        <v>75.75</v>
      </c>
      <c r="BS19" s="3">
        <v>37.762</v>
      </c>
      <c r="BT19" s="3">
        <v>33.387</v>
      </c>
      <c r="BU19" s="3">
        <v>4.375</v>
      </c>
      <c r="BV19" s="3">
        <v>498.5</v>
      </c>
      <c r="BW19" s="3">
        <v>440.745</v>
      </c>
      <c r="BX19" s="3">
        <v>57.755000000000003</v>
      </c>
      <c r="BY19" s="3">
        <v>2.8172000000000001</v>
      </c>
      <c r="BZ19" s="3">
        <v>0.99970000000000003</v>
      </c>
      <c r="CA19" s="3">
        <v>0.99990000000000001</v>
      </c>
      <c r="CB19" s="3">
        <v>3</v>
      </c>
      <c r="CC19" s="4">
        <v>9092</v>
      </c>
      <c r="CD19" s="3">
        <v>120.02</v>
      </c>
      <c r="CE19" s="3">
        <v>416</v>
      </c>
      <c r="CF19" s="3">
        <v>0.23300000000000001</v>
      </c>
      <c r="CG19" s="3">
        <v>0.80400000000000005</v>
      </c>
      <c r="CH19" s="3">
        <v>2.2080000000000002</v>
      </c>
      <c r="CI19" s="3">
        <v>-8.8999999999999999E-3</v>
      </c>
      <c r="CJ19" s="3">
        <v>100</v>
      </c>
      <c r="CK19" s="3" t="s">
        <v>145</v>
      </c>
      <c r="CL19" s="3">
        <v>13566.1</v>
      </c>
      <c r="CM19" s="3">
        <v>13858.5</v>
      </c>
      <c r="CN19" s="3">
        <v>3.89</v>
      </c>
      <c r="CO19" s="3" t="s">
        <v>107</v>
      </c>
      <c r="CP19" s="3" t="s">
        <v>256</v>
      </c>
      <c r="CQ19" s="3">
        <v>2.99</v>
      </c>
      <c r="CR19" s="3">
        <v>3.61</v>
      </c>
      <c r="CS19" s="3">
        <v>4.1399999999999997</v>
      </c>
      <c r="CT19" s="3">
        <v>0</v>
      </c>
      <c r="CU19" s="3" t="s">
        <v>276</v>
      </c>
      <c r="CV19" s="3" t="s">
        <v>258</v>
      </c>
      <c r="CW19" s="3">
        <v>2</v>
      </c>
      <c r="CX19" s="3">
        <v>13.132</v>
      </c>
      <c r="CY19" s="3">
        <v>13.271000000000001</v>
      </c>
      <c r="CZ19" s="3">
        <v>7.0000000000000007E-2</v>
      </c>
      <c r="DA19" s="3">
        <v>75.349999999999994</v>
      </c>
      <c r="DB19" s="3">
        <v>76.150000000000006</v>
      </c>
      <c r="DC19" s="3">
        <v>0.4</v>
      </c>
      <c r="DD19" s="3">
        <v>477.64499999999998</v>
      </c>
      <c r="DE19" s="3">
        <v>519.548</v>
      </c>
      <c r="DF19" s="3">
        <v>20.951000000000001</v>
      </c>
      <c r="DG19" s="3">
        <v>2.6993999999999998</v>
      </c>
      <c r="DH19" s="3">
        <v>2.9361999999999999</v>
      </c>
      <c r="DI19" s="3">
        <v>0.11840000000000001</v>
      </c>
      <c r="DJ19" s="3">
        <v>2.9710000000000001</v>
      </c>
      <c r="DK19" s="3">
        <v>5.7789999999999999</v>
      </c>
      <c r="DL19" s="3">
        <v>33.371000000000002</v>
      </c>
      <c r="DM19" s="3">
        <v>33.402999999999999</v>
      </c>
    </row>
    <row r="20" spans="1:117" x14ac:dyDescent="0.35">
      <c r="A20" s="3" t="s">
        <v>137</v>
      </c>
      <c r="B20" s="3" t="s">
        <v>103</v>
      </c>
      <c r="E20" s="3">
        <v>2.66</v>
      </c>
      <c r="F20" s="3">
        <v>10.276</v>
      </c>
      <c r="M20" s="3">
        <v>442.23399999999998</v>
      </c>
      <c r="N20" s="3">
        <v>67.625</v>
      </c>
      <c r="T20" s="3">
        <v>12.936</v>
      </c>
      <c r="X20" s="3">
        <v>77.3</v>
      </c>
      <c r="AB20" s="3">
        <v>13.678000000000001</v>
      </c>
      <c r="AF20" s="3">
        <v>509.858</v>
      </c>
      <c r="AJ20" s="3">
        <v>2.8814000000000002</v>
      </c>
      <c r="AN20" s="3">
        <v>34.185000000000002</v>
      </c>
      <c r="AR20" s="3">
        <v>0.21</v>
      </c>
      <c r="AU20" s="3" t="s">
        <v>111</v>
      </c>
      <c r="AV20" s="3" t="s">
        <v>109</v>
      </c>
      <c r="AW20" s="3">
        <v>3</v>
      </c>
      <c r="AX20" s="3">
        <v>30</v>
      </c>
      <c r="AY20" s="3">
        <v>354</v>
      </c>
      <c r="AZ20" s="3">
        <v>96</v>
      </c>
      <c r="BA20" s="3">
        <v>40</v>
      </c>
      <c r="BB20" s="4">
        <v>9216</v>
      </c>
      <c r="BC20" s="4">
        <v>2048</v>
      </c>
      <c r="BD20" s="3" t="s">
        <v>118</v>
      </c>
      <c r="BE20" s="4">
        <v>176947200</v>
      </c>
      <c r="BF20" s="3">
        <v>0</v>
      </c>
      <c r="BG20" s="3">
        <v>98.27</v>
      </c>
      <c r="BH20" s="3" t="s">
        <v>137</v>
      </c>
      <c r="BI20" s="3">
        <v>2614.1999999999998</v>
      </c>
      <c r="BJ20" s="3">
        <v>2660.3</v>
      </c>
      <c r="BK20" s="3">
        <v>11881.7</v>
      </c>
      <c r="BL20" s="3">
        <v>12936.3</v>
      </c>
      <c r="BM20" s="3">
        <v>323.41000000000003</v>
      </c>
      <c r="BN20" s="4">
        <v>10276</v>
      </c>
      <c r="BO20" s="3">
        <v>79.44</v>
      </c>
      <c r="BP20" s="3">
        <v>13.678000000000001</v>
      </c>
      <c r="BQ20" s="3">
        <v>27.356999999999999</v>
      </c>
      <c r="BR20" s="3">
        <v>77.3</v>
      </c>
      <c r="BS20" s="3">
        <v>39.412999999999997</v>
      </c>
      <c r="BT20" s="3">
        <v>34.185499999999998</v>
      </c>
      <c r="BU20" s="3">
        <v>5.2270000000000003</v>
      </c>
      <c r="BV20" s="3">
        <v>509.858</v>
      </c>
      <c r="BW20" s="3">
        <v>442.23399999999998</v>
      </c>
      <c r="BX20" s="3">
        <v>67.625</v>
      </c>
      <c r="BY20" s="3">
        <v>2.8814000000000002</v>
      </c>
      <c r="BZ20" s="3">
        <v>0.99980000000000002</v>
      </c>
      <c r="CA20" s="3">
        <v>1</v>
      </c>
      <c r="CB20" s="3">
        <v>3</v>
      </c>
      <c r="CC20" s="4">
        <v>9277</v>
      </c>
      <c r="CD20" s="3">
        <v>120.01</v>
      </c>
      <c r="CE20" s="3">
        <v>512</v>
      </c>
      <c r="CF20" s="3">
        <v>0.21</v>
      </c>
      <c r="CG20" s="3">
        <v>0.83899999999999997</v>
      </c>
      <c r="CH20" s="3">
        <v>2.5720000000000001</v>
      </c>
      <c r="CI20" s="3">
        <v>-1.66E-2</v>
      </c>
      <c r="CJ20" s="3">
        <v>100</v>
      </c>
      <c r="CK20" s="3" t="s">
        <v>138</v>
      </c>
      <c r="CL20" s="3">
        <v>13599.9</v>
      </c>
      <c r="CM20" s="3">
        <v>13941.3</v>
      </c>
      <c r="CN20" s="3">
        <v>4.66</v>
      </c>
      <c r="CO20" s="3" t="s">
        <v>107</v>
      </c>
      <c r="CP20" s="3" t="s">
        <v>256</v>
      </c>
      <c r="CQ20" s="3">
        <v>2.96</v>
      </c>
      <c r="CR20" s="3">
        <v>3.6</v>
      </c>
      <c r="CS20" s="3">
        <v>4.4000000000000004</v>
      </c>
      <c r="CT20" s="3">
        <v>0</v>
      </c>
      <c r="CU20" s="3" t="s">
        <v>277</v>
      </c>
      <c r="CV20" s="3" t="s">
        <v>258</v>
      </c>
      <c r="CW20" s="3">
        <v>2</v>
      </c>
      <c r="CX20" s="3">
        <v>12.927</v>
      </c>
      <c r="CY20" s="3">
        <v>12.946</v>
      </c>
      <c r="CZ20" s="3">
        <v>8.9999999999999993E-3</v>
      </c>
      <c r="DA20" s="3">
        <v>77.25</v>
      </c>
      <c r="DB20" s="3">
        <v>77.36</v>
      </c>
      <c r="DC20" s="3">
        <v>0.06</v>
      </c>
      <c r="DD20" s="3">
        <v>505.702</v>
      </c>
      <c r="DE20" s="3">
        <v>514.00800000000004</v>
      </c>
      <c r="DF20" s="3">
        <v>4.1529999999999996</v>
      </c>
      <c r="DG20" s="3">
        <v>2.8578999999999999</v>
      </c>
      <c r="DH20" s="3">
        <v>2.9049</v>
      </c>
      <c r="DI20" s="3">
        <v>2.35E-2</v>
      </c>
      <c r="DJ20" s="3">
        <v>4.8220000000000001</v>
      </c>
      <c r="DK20" s="3">
        <v>5.633</v>
      </c>
      <c r="DL20" s="3">
        <v>34.130000000000003</v>
      </c>
      <c r="DM20" s="3">
        <v>34.241</v>
      </c>
    </row>
    <row r="21" spans="1:117" x14ac:dyDescent="0.35">
      <c r="A21" s="3" t="s">
        <v>146</v>
      </c>
      <c r="B21" s="3" t="s">
        <v>103</v>
      </c>
      <c r="I21" s="3">
        <v>2.5579999999999998</v>
      </c>
      <c r="J21" s="3">
        <v>10.206</v>
      </c>
      <c r="Q21" s="3">
        <v>434.98899999999998</v>
      </c>
      <c r="R21" s="3">
        <v>77.423000000000002</v>
      </c>
      <c r="V21" s="3">
        <v>12.763999999999999</v>
      </c>
      <c r="Z21" s="3">
        <v>78.34</v>
      </c>
      <c r="AD21" s="3">
        <v>13.862</v>
      </c>
      <c r="AH21" s="3">
        <v>512.41200000000003</v>
      </c>
      <c r="AL21" s="3">
        <v>2.8957999999999999</v>
      </c>
      <c r="AP21" s="3">
        <v>34.078000000000003</v>
      </c>
      <c r="AT21" s="3">
        <v>0.23499999999999999</v>
      </c>
      <c r="AU21" s="3" t="s">
        <v>122</v>
      </c>
      <c r="AV21" s="3" t="s">
        <v>105</v>
      </c>
      <c r="AW21" s="3">
        <v>7</v>
      </c>
      <c r="AX21" s="3">
        <v>30</v>
      </c>
      <c r="AY21" s="3">
        <v>311</v>
      </c>
      <c r="AZ21" s="3">
        <v>112</v>
      </c>
      <c r="BA21" s="3">
        <v>40</v>
      </c>
      <c r="BB21" s="4">
        <v>9216</v>
      </c>
      <c r="BC21" s="4">
        <v>2048</v>
      </c>
      <c r="BD21" s="3" t="s">
        <v>147</v>
      </c>
      <c r="BE21" s="4">
        <v>176947200</v>
      </c>
      <c r="BF21" s="3">
        <v>0</v>
      </c>
      <c r="BG21" s="3">
        <v>99.84</v>
      </c>
      <c r="BH21" s="3" t="s">
        <v>262</v>
      </c>
      <c r="BI21" s="3">
        <v>2554.1</v>
      </c>
      <c r="BJ21" s="3">
        <v>2558.1999999999998</v>
      </c>
      <c r="BK21" s="3">
        <v>11689.6</v>
      </c>
      <c r="BL21" s="3">
        <v>12764.5</v>
      </c>
      <c r="BM21" s="3">
        <v>319.11</v>
      </c>
      <c r="BN21" s="3">
        <v>10206.299999999999</v>
      </c>
      <c r="BO21" s="3">
        <v>79.959999999999994</v>
      </c>
      <c r="BP21" s="3">
        <v>13.862</v>
      </c>
      <c r="BQ21" s="3">
        <v>27.725000000000001</v>
      </c>
      <c r="BR21" s="3">
        <v>78.34</v>
      </c>
      <c r="BS21" s="3">
        <v>40.143500000000003</v>
      </c>
      <c r="BT21" s="3">
        <v>34.078000000000003</v>
      </c>
      <c r="BU21" s="3">
        <v>6.0659999999999998</v>
      </c>
      <c r="BV21" s="3">
        <v>512.41200000000003</v>
      </c>
      <c r="BW21" s="3">
        <v>434.98899999999998</v>
      </c>
      <c r="BX21" s="3">
        <v>77.423000000000002</v>
      </c>
      <c r="BY21" s="3">
        <v>2.8957999999999999</v>
      </c>
      <c r="BZ21" s="3">
        <v>0.99939999999999996</v>
      </c>
      <c r="CA21" s="3">
        <v>0.99680000000000002</v>
      </c>
      <c r="CB21" s="3">
        <v>3</v>
      </c>
      <c r="CC21" s="4">
        <v>9402</v>
      </c>
      <c r="CD21" s="3">
        <v>120.01</v>
      </c>
      <c r="CE21" s="3">
        <v>576</v>
      </c>
      <c r="CF21" s="3">
        <v>0.23499999999999999</v>
      </c>
      <c r="CG21" s="3">
        <v>0.84399999999999997</v>
      </c>
      <c r="CH21" s="3">
        <v>2.2149999999999999</v>
      </c>
      <c r="CI21" s="3">
        <v>2.8999999999999998E-3</v>
      </c>
      <c r="CJ21" s="3">
        <v>100</v>
      </c>
      <c r="CK21" s="3" t="s">
        <v>148</v>
      </c>
      <c r="CL21" s="3">
        <v>13183.6</v>
      </c>
      <c r="CM21" s="3">
        <v>13481.8</v>
      </c>
      <c r="CN21" s="3">
        <v>5.15</v>
      </c>
      <c r="CO21" s="3" t="s">
        <v>107</v>
      </c>
      <c r="CP21" s="3" t="s">
        <v>256</v>
      </c>
      <c r="CQ21" s="3">
        <v>3.6</v>
      </c>
      <c r="CR21" s="3">
        <v>4.17</v>
      </c>
      <c r="CS21" s="3">
        <v>4.7</v>
      </c>
      <c r="CT21" s="3">
        <v>0</v>
      </c>
      <c r="CU21" s="3" t="s">
        <v>278</v>
      </c>
      <c r="CV21" s="3" t="s">
        <v>258</v>
      </c>
      <c r="CW21" s="3">
        <v>2</v>
      </c>
      <c r="CX21" s="3">
        <v>12.718</v>
      </c>
      <c r="CY21" s="3">
        <v>12.811</v>
      </c>
      <c r="CZ21" s="3">
        <v>4.7E-2</v>
      </c>
      <c r="DA21" s="3">
        <v>78.06</v>
      </c>
      <c r="DB21" s="3">
        <v>78.63</v>
      </c>
      <c r="DC21" s="3">
        <v>0.28999999999999998</v>
      </c>
      <c r="DD21" s="3">
        <v>509.12299999999999</v>
      </c>
      <c r="DE21" s="3">
        <v>515.71100000000001</v>
      </c>
      <c r="DF21" s="3">
        <v>3.294</v>
      </c>
      <c r="DG21" s="3">
        <v>2.8773</v>
      </c>
      <c r="DH21" s="3">
        <v>2.9144999999999999</v>
      </c>
      <c r="DI21" s="3">
        <v>1.8599999999999998E-2</v>
      </c>
      <c r="DJ21" s="3">
        <v>5.827</v>
      </c>
      <c r="DK21" s="3">
        <v>6.3040000000000003</v>
      </c>
      <c r="DL21" s="3">
        <v>33.951000000000001</v>
      </c>
      <c r="DM21" s="3">
        <v>34.204999999999998</v>
      </c>
    </row>
    <row r="22" spans="1:117" x14ac:dyDescent="0.35">
      <c r="A22" s="3" t="s">
        <v>149</v>
      </c>
      <c r="B22" s="3" t="s">
        <v>103</v>
      </c>
      <c r="C22" s="3">
        <v>2.7919999999999998</v>
      </c>
      <c r="D22" s="3">
        <v>12.083</v>
      </c>
      <c r="K22" s="3">
        <v>493.80200000000002</v>
      </c>
      <c r="L22" s="3">
        <v>55.564999999999998</v>
      </c>
      <c r="S22" s="3">
        <v>14.875</v>
      </c>
      <c r="W22" s="3">
        <v>67.23</v>
      </c>
      <c r="AA22" s="3">
        <v>11.896000000000001</v>
      </c>
      <c r="AE22" s="3">
        <v>549.36699999999996</v>
      </c>
      <c r="AI22" s="3">
        <v>3.1046999999999998</v>
      </c>
      <c r="AM22" s="3">
        <v>33.197000000000003</v>
      </c>
      <c r="AQ22" s="3">
        <v>0.255</v>
      </c>
      <c r="AU22" s="3" t="s">
        <v>104</v>
      </c>
      <c r="AV22" s="3" t="s">
        <v>150</v>
      </c>
      <c r="AW22" s="3">
        <v>1</v>
      </c>
      <c r="AX22" s="3">
        <v>32</v>
      </c>
      <c r="AY22" s="3">
        <v>250</v>
      </c>
      <c r="AZ22" s="3">
        <v>128</v>
      </c>
      <c r="BA22" s="3">
        <v>40</v>
      </c>
      <c r="BB22" s="4">
        <v>9216</v>
      </c>
      <c r="BC22" s="4">
        <v>2048</v>
      </c>
      <c r="BD22" s="3" t="s">
        <v>106</v>
      </c>
      <c r="BE22" s="4">
        <v>176947200</v>
      </c>
      <c r="BF22" s="3">
        <v>0</v>
      </c>
      <c r="BG22" s="3">
        <v>99.43</v>
      </c>
      <c r="BH22" s="3" t="s">
        <v>149</v>
      </c>
      <c r="BI22" s="3">
        <v>2776.3</v>
      </c>
      <c r="BJ22" s="3">
        <v>2792.2</v>
      </c>
      <c r="BK22" s="3">
        <v>12751.3</v>
      </c>
      <c r="BL22" s="3">
        <v>14874.9</v>
      </c>
      <c r="BM22" s="3">
        <v>371.87</v>
      </c>
      <c r="BN22" s="3">
        <v>12082.7</v>
      </c>
      <c r="BO22" s="3">
        <v>81.23</v>
      </c>
      <c r="BP22" s="3">
        <v>11.896000000000001</v>
      </c>
      <c r="BQ22" s="3">
        <v>23.791</v>
      </c>
      <c r="BR22" s="3">
        <v>67.23</v>
      </c>
      <c r="BS22" s="3">
        <v>36.932499999999997</v>
      </c>
      <c r="BT22" s="3">
        <v>33.197000000000003</v>
      </c>
      <c r="BU22" s="3">
        <v>3.7349999999999999</v>
      </c>
      <c r="BV22" s="3">
        <v>549.36699999999996</v>
      </c>
      <c r="BW22" s="3">
        <v>493.80200000000002</v>
      </c>
      <c r="BX22" s="3">
        <v>55.564999999999998</v>
      </c>
      <c r="BY22" s="3">
        <v>3.1046999999999998</v>
      </c>
      <c r="BZ22" s="3">
        <v>1</v>
      </c>
      <c r="CA22" s="3">
        <v>1</v>
      </c>
      <c r="CB22" s="3">
        <v>3</v>
      </c>
      <c r="CC22" s="4">
        <v>8070</v>
      </c>
      <c r="CD22" s="3">
        <v>120.01</v>
      </c>
      <c r="CE22" s="3">
        <v>768</v>
      </c>
      <c r="CF22" s="3">
        <v>0.255</v>
      </c>
      <c r="CG22" s="3">
        <v>0.74299999999999999</v>
      </c>
      <c r="CH22" s="3">
        <v>1.5780000000000001</v>
      </c>
      <c r="CI22" s="3">
        <v>8.8000000000000005E-3</v>
      </c>
      <c r="CJ22" s="3">
        <v>100</v>
      </c>
      <c r="CK22" s="3" t="s">
        <v>150</v>
      </c>
      <c r="CL22" s="3">
        <v>15343.3</v>
      </c>
      <c r="CM22" s="3">
        <v>15523.6</v>
      </c>
      <c r="CN22" s="3">
        <v>4.2300000000000004</v>
      </c>
      <c r="CO22" s="3" t="s">
        <v>107</v>
      </c>
      <c r="CP22" s="3" t="s">
        <v>256</v>
      </c>
      <c r="CQ22" s="3">
        <v>2.97</v>
      </c>
      <c r="CR22" s="3">
        <v>3.21</v>
      </c>
      <c r="CS22" s="3">
        <v>3.95</v>
      </c>
      <c r="CT22" s="3">
        <v>0</v>
      </c>
      <c r="CU22" s="3" t="s">
        <v>279</v>
      </c>
      <c r="CV22" s="3" t="s">
        <v>258</v>
      </c>
      <c r="CW22" s="3">
        <v>2</v>
      </c>
      <c r="CX22" s="3">
        <v>14.648999999999999</v>
      </c>
      <c r="CY22" s="3">
        <v>15.101000000000001</v>
      </c>
      <c r="CZ22" s="3">
        <v>0.22600000000000001</v>
      </c>
      <c r="DA22" s="3">
        <v>66.22</v>
      </c>
      <c r="DB22" s="3">
        <v>68.260000000000005</v>
      </c>
      <c r="DC22" s="3">
        <v>1.02</v>
      </c>
      <c r="DD22" s="3">
        <v>546.375</v>
      </c>
      <c r="DE22" s="3">
        <v>552.19500000000005</v>
      </c>
      <c r="DF22" s="3">
        <v>2.91</v>
      </c>
      <c r="DG22" s="3">
        <v>3.0878000000000001</v>
      </c>
      <c r="DH22" s="3">
        <v>3.1206999999999998</v>
      </c>
      <c r="DI22" s="3">
        <v>1.6400000000000001E-2</v>
      </c>
      <c r="DJ22" s="3">
        <v>3.4969999999999999</v>
      </c>
      <c r="DK22" s="3">
        <v>3.9740000000000002</v>
      </c>
      <c r="DL22" s="3">
        <v>33.07</v>
      </c>
      <c r="DM22" s="3">
        <v>33.323999999999998</v>
      </c>
    </row>
    <row r="23" spans="1:117" x14ac:dyDescent="0.35">
      <c r="A23" s="3" t="s">
        <v>151</v>
      </c>
      <c r="B23" s="3" t="s">
        <v>103</v>
      </c>
      <c r="I23" s="3">
        <v>2.2770000000000001</v>
      </c>
      <c r="J23" s="3">
        <v>11.8</v>
      </c>
      <c r="Q23" s="3">
        <v>488.48599999999999</v>
      </c>
      <c r="R23" s="3">
        <v>57.845999999999997</v>
      </c>
      <c r="V23" s="3">
        <v>14.077999999999999</v>
      </c>
      <c r="Z23" s="3">
        <v>71.03</v>
      </c>
      <c r="AD23" s="3">
        <v>12.569000000000001</v>
      </c>
      <c r="AH23" s="3">
        <v>546.33100000000002</v>
      </c>
      <c r="AL23" s="3">
        <v>3.0874999999999999</v>
      </c>
      <c r="AP23" s="3">
        <v>34.698999999999998</v>
      </c>
      <c r="AT23" s="3">
        <v>0.23599999999999999</v>
      </c>
      <c r="AU23" s="3" t="s">
        <v>122</v>
      </c>
      <c r="AV23" s="3" t="s">
        <v>124</v>
      </c>
      <c r="AW23" s="3">
        <v>2</v>
      </c>
      <c r="AX23" s="3">
        <v>32</v>
      </c>
      <c r="AY23" s="3">
        <v>305</v>
      </c>
      <c r="AZ23" s="3">
        <v>128</v>
      </c>
      <c r="BA23" s="3">
        <v>40</v>
      </c>
      <c r="BB23" s="4">
        <v>9216</v>
      </c>
      <c r="BC23" s="4">
        <v>2048</v>
      </c>
      <c r="BD23" s="3" t="s">
        <v>112</v>
      </c>
      <c r="BE23" s="4">
        <v>176947200</v>
      </c>
      <c r="BF23" s="3">
        <v>0</v>
      </c>
      <c r="BG23" s="3">
        <v>99.92</v>
      </c>
      <c r="BH23" s="3" t="s">
        <v>262</v>
      </c>
      <c r="BI23" s="3">
        <v>2275.6999999999998</v>
      </c>
      <c r="BJ23" s="3">
        <v>2277.5</v>
      </c>
      <c r="BK23" s="3">
        <v>12638.9</v>
      </c>
      <c r="BL23" s="3">
        <v>14077.8</v>
      </c>
      <c r="BM23" s="3">
        <v>351.94</v>
      </c>
      <c r="BN23" s="3">
        <v>11800.3</v>
      </c>
      <c r="BO23" s="3">
        <v>83.82</v>
      </c>
      <c r="BP23" s="3">
        <v>12.569000000000001</v>
      </c>
      <c r="BQ23" s="3">
        <v>25.138000000000002</v>
      </c>
      <c r="BR23" s="3">
        <v>71.03</v>
      </c>
      <c r="BS23" s="3">
        <v>38.808</v>
      </c>
      <c r="BT23" s="3">
        <v>34.698999999999998</v>
      </c>
      <c r="BU23" s="3">
        <v>4.109</v>
      </c>
      <c r="BV23" s="3">
        <v>546.33100000000002</v>
      </c>
      <c r="BW23" s="3">
        <v>488.48599999999999</v>
      </c>
      <c r="BX23" s="3">
        <v>57.845999999999997</v>
      </c>
      <c r="BY23" s="3">
        <v>3.0874999999999999</v>
      </c>
      <c r="BZ23" s="3">
        <v>0.99990000000000001</v>
      </c>
      <c r="CA23" s="3">
        <v>1</v>
      </c>
      <c r="CB23" s="3">
        <v>3</v>
      </c>
      <c r="CC23" s="4">
        <v>8526</v>
      </c>
      <c r="CD23" s="3">
        <v>120.02</v>
      </c>
      <c r="CE23" s="3">
        <v>704</v>
      </c>
      <c r="CF23" s="3">
        <v>0.23599999999999999</v>
      </c>
      <c r="CG23" s="3">
        <v>0.91800000000000004</v>
      </c>
      <c r="CH23" s="3">
        <v>1.958</v>
      </c>
      <c r="CI23" s="3">
        <v>-1.3100000000000001E-2</v>
      </c>
      <c r="CJ23" s="3">
        <v>100</v>
      </c>
      <c r="CK23" s="3" t="s">
        <v>280</v>
      </c>
      <c r="CL23" s="3">
        <v>14496.1</v>
      </c>
      <c r="CM23" s="3">
        <v>14700.8</v>
      </c>
      <c r="CN23" s="3">
        <v>2.95</v>
      </c>
      <c r="CO23" s="3" t="s">
        <v>107</v>
      </c>
      <c r="CP23" s="3" t="s">
        <v>281</v>
      </c>
      <c r="CQ23" s="3">
        <v>2.23</v>
      </c>
      <c r="CR23" s="3">
        <v>3.21</v>
      </c>
      <c r="CS23" s="3">
        <v>4.68</v>
      </c>
      <c r="CT23" s="3">
        <v>0</v>
      </c>
      <c r="CU23" s="3" t="s">
        <v>282</v>
      </c>
      <c r="CV23" s="3" t="s">
        <v>258</v>
      </c>
      <c r="CW23" s="3">
        <v>2</v>
      </c>
      <c r="CX23" s="3">
        <v>13.981999999999999</v>
      </c>
      <c r="CY23" s="3">
        <v>14.173999999999999</v>
      </c>
      <c r="CZ23" s="3">
        <v>9.6000000000000002E-2</v>
      </c>
      <c r="DA23" s="3">
        <v>70.55</v>
      </c>
      <c r="DB23" s="3">
        <v>71.52</v>
      </c>
      <c r="DC23" s="3">
        <v>0.48</v>
      </c>
      <c r="DD23" s="3">
        <v>531.01499999999999</v>
      </c>
      <c r="DE23" s="3">
        <v>561.80700000000002</v>
      </c>
      <c r="DF23" s="3">
        <v>15.396000000000001</v>
      </c>
      <c r="DG23" s="3">
        <v>3.0009999999999999</v>
      </c>
      <c r="DH23" s="3">
        <v>3.1749999999999998</v>
      </c>
      <c r="DI23" s="3">
        <v>8.6999999999999994E-2</v>
      </c>
      <c r="DJ23" s="3">
        <v>3.4329999999999998</v>
      </c>
      <c r="DK23" s="3">
        <v>4.7850000000000001</v>
      </c>
      <c r="DL23" s="3">
        <v>34.545999999999999</v>
      </c>
      <c r="DM23" s="3">
        <v>34.851999999999997</v>
      </c>
    </row>
  </sheetData>
  <autoFilter ref="A1:CV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opLeftCell="A5" workbookViewId="0">
      <selection activeCell="G27" sqref="G27"/>
    </sheetView>
  </sheetViews>
  <sheetFormatPr defaultRowHeight="14.5" x14ac:dyDescent="0.35"/>
  <cols>
    <col min="1" max="1" width="22" customWidth="1"/>
    <col min="2" max="4" width="18" customWidth="1"/>
  </cols>
  <sheetData>
    <row r="1" spans="1:4" ht="15.5" x14ac:dyDescent="0.35">
      <c r="A1" s="1" t="s">
        <v>152</v>
      </c>
    </row>
    <row r="2" spans="1:4" ht="30" customHeight="1" x14ac:dyDescent="0.35">
      <c r="A2" s="2" t="s">
        <v>153</v>
      </c>
      <c r="B2" s="2" t="s">
        <v>154</v>
      </c>
      <c r="C2" s="2" t="s">
        <v>155</v>
      </c>
      <c r="D2" s="2" t="s">
        <v>156</v>
      </c>
    </row>
    <row r="3" spans="1:4" x14ac:dyDescent="0.35">
      <c r="A3" s="3" t="s">
        <v>157</v>
      </c>
      <c r="B3" s="5">
        <v>10.794</v>
      </c>
      <c r="C3" s="5">
        <v>12.754</v>
      </c>
      <c r="D3" s="5">
        <v>9.3949999999999996</v>
      </c>
    </row>
    <row r="4" spans="1:4" x14ac:dyDescent="0.35">
      <c r="A4" s="3" t="s">
        <v>158</v>
      </c>
      <c r="B4" s="5">
        <v>12.936</v>
      </c>
      <c r="C4" s="5">
        <v>13.627000000000001</v>
      </c>
      <c r="D4" s="5">
        <v>12.132999999999999</v>
      </c>
    </row>
    <row r="5" spans="1:4" x14ac:dyDescent="0.35">
      <c r="A5" s="3" t="s">
        <v>159</v>
      </c>
      <c r="B5" s="5">
        <v>12.081</v>
      </c>
      <c r="C5" s="5">
        <v>12.04</v>
      </c>
      <c r="D5" s="5">
        <v>11.347</v>
      </c>
    </row>
    <row r="7" spans="1:4" ht="15.5" x14ac:dyDescent="0.35">
      <c r="A7" s="1" t="s">
        <v>160</v>
      </c>
    </row>
    <row r="8" spans="1:4" ht="30" customHeight="1" x14ac:dyDescent="0.35">
      <c r="A8" s="2" t="s">
        <v>153</v>
      </c>
      <c r="B8" s="2" t="s">
        <v>154</v>
      </c>
      <c r="C8" s="2" t="s">
        <v>155</v>
      </c>
      <c r="D8" s="2" t="s">
        <v>156</v>
      </c>
    </row>
    <row r="9" spans="1:4" x14ac:dyDescent="0.35">
      <c r="A9" s="3" t="s">
        <v>157</v>
      </c>
      <c r="B9" s="6">
        <v>92.64</v>
      </c>
      <c r="C9" s="6">
        <v>78.41</v>
      </c>
      <c r="D9" s="6">
        <v>106.44</v>
      </c>
    </row>
    <row r="10" spans="1:4" x14ac:dyDescent="0.35">
      <c r="A10" s="3" t="s">
        <v>158</v>
      </c>
      <c r="B10" s="6">
        <v>77.3</v>
      </c>
      <c r="C10" s="6">
        <v>73.38</v>
      </c>
      <c r="D10" s="6">
        <v>82.42</v>
      </c>
    </row>
    <row r="11" spans="1:4" x14ac:dyDescent="0.35">
      <c r="A11" s="3" t="s">
        <v>159</v>
      </c>
      <c r="B11" s="6">
        <v>82.78</v>
      </c>
      <c r="C11" s="6">
        <v>83.05</v>
      </c>
      <c r="D11" s="6">
        <v>88.13</v>
      </c>
    </row>
    <row r="13" spans="1:4" ht="15.5" x14ac:dyDescent="0.35">
      <c r="A13" s="1" t="s">
        <v>161</v>
      </c>
    </row>
    <row r="14" spans="1:4" ht="30" customHeight="1" x14ac:dyDescent="0.35">
      <c r="A14" s="2" t="s">
        <v>153</v>
      </c>
      <c r="B14" s="2" t="s">
        <v>154</v>
      </c>
      <c r="C14" s="2" t="s">
        <v>155</v>
      </c>
      <c r="D14" s="2" t="s">
        <v>156</v>
      </c>
    </row>
    <row r="15" spans="1:4" x14ac:dyDescent="0.35">
      <c r="A15" s="3" t="s">
        <v>157</v>
      </c>
      <c r="B15" s="6">
        <v>398.16399999999999</v>
      </c>
      <c r="C15" s="6">
        <v>453.733</v>
      </c>
      <c r="D15" s="6">
        <v>324.39100000000002</v>
      </c>
    </row>
    <row r="16" spans="1:4" x14ac:dyDescent="0.35">
      <c r="A16" s="3" t="s">
        <v>158</v>
      </c>
      <c r="B16" s="6">
        <v>509.858</v>
      </c>
      <c r="C16" s="6">
        <v>506.24599999999998</v>
      </c>
      <c r="D16" s="6">
        <v>462.84100000000001</v>
      </c>
    </row>
    <row r="17" spans="1:4" x14ac:dyDescent="0.35">
      <c r="A17" s="3" t="s">
        <v>159</v>
      </c>
      <c r="B17" s="6">
        <v>470.9</v>
      </c>
      <c r="C17" s="6">
        <v>456.44</v>
      </c>
      <c r="D17" s="6">
        <v>447.91199999999998</v>
      </c>
    </row>
    <row r="19" spans="1:4" ht="15.5" x14ac:dyDescent="0.35">
      <c r="A19" s="1" t="s">
        <v>162</v>
      </c>
    </row>
    <row r="20" spans="1:4" ht="30" customHeight="1" x14ac:dyDescent="0.35">
      <c r="A20" s="2" t="s">
        <v>153</v>
      </c>
      <c r="B20" s="2" t="s">
        <v>154</v>
      </c>
      <c r="C20" s="2" t="s">
        <v>155</v>
      </c>
      <c r="D20" s="2" t="s">
        <v>156</v>
      </c>
    </row>
    <row r="21" spans="1:4" x14ac:dyDescent="0.35">
      <c r="A21" s="3" t="s">
        <v>157</v>
      </c>
      <c r="B21" s="5">
        <v>31.05</v>
      </c>
      <c r="C21" s="5">
        <v>31.052</v>
      </c>
      <c r="D21" s="5">
        <v>27.878</v>
      </c>
    </row>
    <row r="22" spans="1:4" x14ac:dyDescent="0.35">
      <c r="A22" s="3" t="s">
        <v>158</v>
      </c>
      <c r="B22" s="5">
        <v>34.185000000000002</v>
      </c>
      <c r="C22" s="5">
        <v>33.417999999999999</v>
      </c>
      <c r="D22" s="5">
        <v>33.347000000000001</v>
      </c>
    </row>
    <row r="23" spans="1:4" x14ac:dyDescent="0.35">
      <c r="A23" s="3" t="s">
        <v>159</v>
      </c>
      <c r="B23" s="5">
        <v>33.595999999999997</v>
      </c>
      <c r="C23" s="5">
        <v>33.447000000000003</v>
      </c>
      <c r="D23" s="5">
        <v>33.238999999999997</v>
      </c>
    </row>
    <row r="25" spans="1:4" ht="15.5" x14ac:dyDescent="0.35">
      <c r="A25" s="1" t="s">
        <v>163</v>
      </c>
    </row>
    <row r="26" spans="1:4" ht="30" customHeight="1" x14ac:dyDescent="0.35">
      <c r="A26" s="2" t="s">
        <v>153</v>
      </c>
      <c r="B26" s="2" t="s">
        <v>154</v>
      </c>
      <c r="C26" s="2" t="s">
        <v>155</v>
      </c>
      <c r="D26" s="2" t="s">
        <v>156</v>
      </c>
    </row>
    <row r="27" spans="1:4" x14ac:dyDescent="0.35">
      <c r="A27" s="3" t="s">
        <v>157</v>
      </c>
      <c r="B27" s="7">
        <v>18</v>
      </c>
      <c r="C27" s="7">
        <v>14</v>
      </c>
      <c r="D27" s="7">
        <v>14</v>
      </c>
    </row>
    <row r="28" spans="1:4" x14ac:dyDescent="0.35">
      <c r="A28" s="3" t="s">
        <v>158</v>
      </c>
      <c r="B28" s="7">
        <v>30</v>
      </c>
      <c r="C28" s="7">
        <v>26</v>
      </c>
      <c r="D28" s="7">
        <v>26</v>
      </c>
    </row>
    <row r="29" spans="1:4" x14ac:dyDescent="0.35">
      <c r="A29" s="3" t="s">
        <v>159</v>
      </c>
      <c r="B29" s="7">
        <v>26</v>
      </c>
      <c r="C29" s="7">
        <v>24</v>
      </c>
      <c r="D29" s="7">
        <v>24</v>
      </c>
    </row>
    <row r="31" spans="1:4" ht="15.5" x14ac:dyDescent="0.35">
      <c r="A31" s="1" t="s">
        <v>164</v>
      </c>
    </row>
    <row r="32" spans="1:4" ht="30" customHeight="1" x14ac:dyDescent="0.35">
      <c r="A32" s="2" t="s">
        <v>153</v>
      </c>
      <c r="B32" s="2" t="s">
        <v>154</v>
      </c>
      <c r="C32" s="2" t="s">
        <v>155</v>
      </c>
      <c r="D32" s="2" t="s">
        <v>156</v>
      </c>
    </row>
    <row r="33" spans="1:4" x14ac:dyDescent="0.35">
      <c r="A33" s="3" t="s">
        <v>157</v>
      </c>
      <c r="B33" s="7">
        <v>399</v>
      </c>
      <c r="C33" s="7">
        <v>392</v>
      </c>
      <c r="D33" s="7">
        <v>393</v>
      </c>
    </row>
    <row r="34" spans="1:4" x14ac:dyDescent="0.35">
      <c r="A34" s="3" t="s">
        <v>158</v>
      </c>
      <c r="B34" s="7">
        <v>354</v>
      </c>
      <c r="C34" s="7">
        <v>321</v>
      </c>
      <c r="D34" s="7">
        <v>337</v>
      </c>
    </row>
    <row r="35" spans="1:4" x14ac:dyDescent="0.35">
      <c r="A35" s="3" t="s">
        <v>159</v>
      </c>
      <c r="B35" s="7">
        <v>341</v>
      </c>
      <c r="C35" s="7">
        <v>332</v>
      </c>
      <c r="D35" s="7">
        <v>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E12" sqref="E12"/>
    </sheetView>
  </sheetViews>
  <sheetFormatPr defaultRowHeight="14.5" x14ac:dyDescent="0.35"/>
  <cols>
    <col min="1" max="1" width="12" customWidth="1"/>
    <col min="2" max="10" width="17" customWidth="1"/>
  </cols>
  <sheetData>
    <row r="1" spans="1:10" ht="15.5" x14ac:dyDescent="0.35">
      <c r="A1" s="1" t="s">
        <v>165</v>
      </c>
    </row>
    <row r="2" spans="1:10" ht="30" customHeight="1" x14ac:dyDescent="0.35">
      <c r="A2" s="2" t="s">
        <v>166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171</v>
      </c>
      <c r="G2" s="2" t="s">
        <v>172</v>
      </c>
      <c r="H2" s="2" t="s">
        <v>173</v>
      </c>
      <c r="I2" s="2" t="s">
        <v>174</v>
      </c>
      <c r="J2" s="2" t="s">
        <v>175</v>
      </c>
    </row>
    <row r="3" spans="1:10" x14ac:dyDescent="0.35">
      <c r="A3" s="3">
        <v>1</v>
      </c>
      <c r="B3" s="6">
        <v>63.6</v>
      </c>
      <c r="E3" s="6">
        <v>462.28500000000003</v>
      </c>
      <c r="H3" s="7">
        <v>400</v>
      </c>
    </row>
    <row r="4" spans="1:10" x14ac:dyDescent="0.35">
      <c r="A4" s="3">
        <v>2</v>
      </c>
      <c r="B4" s="6">
        <v>91.02</v>
      </c>
      <c r="E4" s="6">
        <v>355.31400000000002</v>
      </c>
      <c r="H4" s="7">
        <v>394</v>
      </c>
    </row>
    <row r="5" spans="1:10" x14ac:dyDescent="0.35">
      <c r="A5" s="3">
        <v>3</v>
      </c>
      <c r="B5" s="6">
        <v>92.64</v>
      </c>
      <c r="C5" s="6">
        <v>78.41</v>
      </c>
      <c r="D5" s="6">
        <v>106.44</v>
      </c>
      <c r="E5" s="6">
        <v>398.16399999999999</v>
      </c>
      <c r="F5" s="6">
        <v>453.733</v>
      </c>
      <c r="G5" s="6">
        <v>324.39100000000002</v>
      </c>
      <c r="H5" s="7">
        <v>399</v>
      </c>
      <c r="I5" s="7">
        <v>392</v>
      </c>
      <c r="J5" s="7">
        <v>393</v>
      </c>
    </row>
    <row r="6" spans="1:10" x14ac:dyDescent="0.35">
      <c r="A6" s="3">
        <v>4</v>
      </c>
      <c r="B6" s="6">
        <v>86.42</v>
      </c>
      <c r="E6" s="6">
        <v>436.267</v>
      </c>
      <c r="H6" s="7">
        <v>374</v>
      </c>
    </row>
    <row r="7" spans="1:10" x14ac:dyDescent="0.35">
      <c r="A7" s="3">
        <v>5</v>
      </c>
      <c r="B7" s="6">
        <v>75.75</v>
      </c>
      <c r="E7" s="6">
        <v>498.5</v>
      </c>
      <c r="H7" s="7">
        <v>329</v>
      </c>
    </row>
    <row r="8" spans="1:10" x14ac:dyDescent="0.35">
      <c r="A8" s="3">
        <v>6</v>
      </c>
      <c r="D8" s="6">
        <v>84.53</v>
      </c>
      <c r="G8" s="6">
        <v>452.83699999999999</v>
      </c>
      <c r="J8" s="7">
        <v>343</v>
      </c>
    </row>
    <row r="9" spans="1:10" x14ac:dyDescent="0.35">
      <c r="A9" s="3">
        <v>7</v>
      </c>
      <c r="D9" s="6">
        <v>78.34</v>
      </c>
      <c r="G9" s="6">
        <v>512.41200000000003</v>
      </c>
      <c r="J9" s="7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>
      <pane ySplit="1" topLeftCell="A2" activePane="bottomLeft" state="frozen"/>
      <selection pane="bottomLeft" sqref="A1:L5"/>
    </sheetView>
  </sheetViews>
  <sheetFormatPr defaultRowHeight="14.5" x14ac:dyDescent="0.35"/>
  <cols>
    <col min="1" max="1" width="10" customWidth="1"/>
    <col min="2" max="2" width="15" customWidth="1"/>
    <col min="3" max="3" width="10" customWidth="1"/>
    <col min="4" max="4" width="11" customWidth="1"/>
    <col min="5" max="5" width="10" customWidth="1"/>
    <col min="6" max="6" width="12" customWidth="1"/>
    <col min="7" max="8" width="10" customWidth="1"/>
    <col min="9" max="9" width="14" customWidth="1"/>
    <col min="10" max="11" width="17" customWidth="1"/>
    <col min="12" max="12" width="30" customWidth="1"/>
  </cols>
  <sheetData>
    <row r="1" spans="1:12" ht="30" customHeight="1" x14ac:dyDescent="0.35">
      <c r="A1" s="2" t="s">
        <v>176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181</v>
      </c>
      <c r="G1" s="2" t="s">
        <v>182</v>
      </c>
      <c r="H1" s="2" t="s">
        <v>183</v>
      </c>
      <c r="I1" s="2" t="s">
        <v>184</v>
      </c>
      <c r="J1" s="2" t="s">
        <v>185</v>
      </c>
      <c r="K1" s="2" t="s">
        <v>186</v>
      </c>
      <c r="L1" s="2" t="s">
        <v>187</v>
      </c>
    </row>
    <row r="2" spans="1:12" x14ac:dyDescent="0.35">
      <c r="A2" s="3" t="s">
        <v>188</v>
      </c>
      <c r="B2" s="4">
        <v>1024</v>
      </c>
      <c r="C2" s="4">
        <v>1200</v>
      </c>
      <c r="D2" s="3">
        <v>16</v>
      </c>
      <c r="E2" s="3">
        <v>22</v>
      </c>
      <c r="F2" s="3">
        <v>0.28899999999999998</v>
      </c>
      <c r="G2" s="3">
        <v>1.022</v>
      </c>
      <c r="H2" s="3">
        <v>2.5720000000000001</v>
      </c>
      <c r="I2" s="3">
        <v>0.38400000000000001</v>
      </c>
      <c r="J2" s="3">
        <v>-3.6799999999999999E-2</v>
      </c>
      <c r="K2" s="3">
        <v>100</v>
      </c>
      <c r="L2" s="3" t="s">
        <v>189</v>
      </c>
    </row>
    <row r="3" spans="1:12" x14ac:dyDescent="0.35">
      <c r="A3" s="3" t="s">
        <v>190</v>
      </c>
      <c r="B3" s="3">
        <v>512</v>
      </c>
      <c r="C3" s="4">
        <v>1856</v>
      </c>
      <c r="D3" s="3">
        <v>16</v>
      </c>
      <c r="E3" s="3">
        <v>22</v>
      </c>
      <c r="F3" s="3">
        <v>0.254</v>
      </c>
      <c r="G3" s="3">
        <v>0.90800000000000003</v>
      </c>
      <c r="H3" s="3">
        <v>2.2200000000000002</v>
      </c>
      <c r="I3" s="3">
        <v>0.34100000000000003</v>
      </c>
      <c r="J3" s="3">
        <v>1.4999999999999999E-2</v>
      </c>
      <c r="K3" s="3">
        <v>100</v>
      </c>
      <c r="L3" s="3" t="s">
        <v>189</v>
      </c>
    </row>
    <row r="4" spans="1:12" x14ac:dyDescent="0.35">
      <c r="A4" s="3" t="s">
        <v>191</v>
      </c>
      <c r="B4" s="3">
        <v>256</v>
      </c>
      <c r="C4" s="4">
        <v>1200</v>
      </c>
      <c r="D4" s="3">
        <v>16</v>
      </c>
      <c r="E4" s="3">
        <v>22</v>
      </c>
      <c r="F4" s="3">
        <v>0.23699999999999999</v>
      </c>
      <c r="G4" s="3">
        <v>0.73299999999999998</v>
      </c>
      <c r="H4" s="3">
        <v>1.454</v>
      </c>
      <c r="I4" s="3">
        <v>0.28499999999999998</v>
      </c>
      <c r="J4" s="3">
        <v>-0.01</v>
      </c>
      <c r="K4" s="3">
        <v>100</v>
      </c>
      <c r="L4" s="3" t="s">
        <v>189</v>
      </c>
    </row>
    <row r="5" spans="1:12" x14ac:dyDescent="0.35">
      <c r="A5" s="3" t="s">
        <v>192</v>
      </c>
      <c r="B5" s="3">
        <v>128</v>
      </c>
      <c r="C5" s="4">
        <v>2400</v>
      </c>
      <c r="D5" s="3">
        <v>16</v>
      </c>
      <c r="E5" s="3">
        <v>22</v>
      </c>
      <c r="F5" s="3">
        <v>0.19900000000000001</v>
      </c>
      <c r="G5" s="3">
        <v>0.71899999999999997</v>
      </c>
      <c r="H5" s="3">
        <v>1.8720000000000001</v>
      </c>
      <c r="I5" s="3">
        <v>0.26700000000000002</v>
      </c>
      <c r="J5" s="3">
        <v>2.58E-2</v>
      </c>
      <c r="K5" s="3">
        <v>100</v>
      </c>
      <c r="L5" s="3" t="s">
        <v>189</v>
      </c>
    </row>
  </sheetData>
  <autoFilter ref="A1:L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4"/>
  <sheetViews>
    <sheetView workbookViewId="0">
      <pane ySplit="1" topLeftCell="A2" activePane="bottomLeft" state="frozen"/>
      <selection pane="bottomLeft" sqref="A1:BZ14"/>
    </sheetView>
  </sheetViews>
  <sheetFormatPr defaultRowHeight="14.5" x14ac:dyDescent="0.35"/>
  <cols>
    <col min="1" max="2" width="18" customWidth="1"/>
    <col min="3" max="3" width="20" customWidth="1"/>
    <col min="4" max="4" width="17" customWidth="1"/>
    <col min="5" max="5" width="19" customWidth="1"/>
    <col min="6" max="6" width="18" customWidth="1"/>
    <col min="7" max="7" width="19" customWidth="1"/>
    <col min="8" max="8" width="17" customWidth="1"/>
    <col min="9" max="9" width="18" customWidth="1"/>
    <col min="10" max="10" width="20" customWidth="1"/>
    <col min="11" max="11" width="19" customWidth="1"/>
    <col min="12" max="12" width="22" customWidth="1"/>
    <col min="13" max="13" width="21" customWidth="1"/>
    <col min="14" max="14" width="19" customWidth="1"/>
    <col min="15" max="15" width="18" customWidth="1"/>
    <col min="16" max="16" width="15" customWidth="1"/>
    <col min="17" max="17" width="18" customWidth="1"/>
    <col min="18" max="18" width="14" customWidth="1"/>
    <col min="19" max="19" width="10" customWidth="1"/>
    <col min="20" max="20" width="14" customWidth="1"/>
    <col min="21" max="21" width="13" customWidth="1"/>
    <col min="22" max="22" width="11" customWidth="1"/>
    <col min="23" max="23" width="10" customWidth="1"/>
    <col min="24" max="26" width="13" customWidth="1"/>
    <col min="27" max="27" width="18" customWidth="1"/>
    <col min="28" max="28" width="16" customWidth="1"/>
    <col min="29" max="29" width="14" customWidth="1"/>
    <col min="30" max="30" width="11" customWidth="1"/>
    <col min="31" max="31" width="15" customWidth="1"/>
    <col min="32" max="32" width="14" customWidth="1"/>
    <col min="33" max="33" width="13" customWidth="1"/>
    <col min="34" max="34" width="14" customWidth="1"/>
    <col min="35" max="35" width="13" customWidth="1"/>
    <col min="36" max="36" width="15" customWidth="1"/>
    <col min="37" max="38" width="14" customWidth="1"/>
    <col min="39" max="39" width="11" customWidth="1"/>
    <col min="40" max="40" width="16" customWidth="1"/>
    <col min="41" max="41" width="11" customWidth="1"/>
    <col min="42" max="42" width="12" customWidth="1"/>
    <col min="43" max="44" width="17" customWidth="1"/>
    <col min="45" max="45" width="24" customWidth="1"/>
    <col min="46" max="46" width="16" customWidth="1"/>
    <col min="47" max="47" width="17" customWidth="1"/>
    <col min="48" max="48" width="14" customWidth="1"/>
    <col min="49" max="49" width="13" customWidth="1"/>
    <col min="50" max="50" width="10" customWidth="1"/>
    <col min="51" max="52" width="30" customWidth="1"/>
    <col min="53" max="53" width="15" customWidth="1"/>
    <col min="54" max="54" width="21" customWidth="1"/>
    <col min="55" max="55" width="18" customWidth="1"/>
    <col min="56" max="56" width="30" customWidth="1"/>
    <col min="57" max="57" width="22" customWidth="1"/>
    <col min="58" max="58" width="16" customWidth="1"/>
    <col min="59" max="59" width="18" customWidth="1"/>
    <col min="60" max="61" width="17" customWidth="1"/>
  </cols>
  <sheetData>
    <row r="1" spans="1:78" ht="30" customHeight="1" x14ac:dyDescent="0.3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193</v>
      </c>
      <c r="K1" s="2" t="s">
        <v>194</v>
      </c>
      <c r="L1" s="2" t="s">
        <v>195</v>
      </c>
      <c r="M1" s="2" t="s">
        <v>196</v>
      </c>
      <c r="N1" s="2" t="s">
        <v>36</v>
      </c>
      <c r="O1" s="2" t="s">
        <v>37</v>
      </c>
      <c r="P1" s="2" t="s">
        <v>48</v>
      </c>
      <c r="Q1" s="2" t="s">
        <v>197</v>
      </c>
      <c r="R1" s="2" t="s">
        <v>49</v>
      </c>
      <c r="S1" s="2" t="s">
        <v>198</v>
      </c>
      <c r="T1" s="2" t="s">
        <v>51</v>
      </c>
      <c r="U1" s="2" t="s">
        <v>53</v>
      </c>
      <c r="V1" s="2" t="s">
        <v>52</v>
      </c>
      <c r="W1" s="2" t="s">
        <v>199</v>
      </c>
      <c r="X1" s="2" t="s">
        <v>200</v>
      </c>
      <c r="Y1" s="2" t="s">
        <v>201</v>
      </c>
      <c r="Z1" s="2" t="s">
        <v>59</v>
      </c>
      <c r="AA1" s="2" t="s">
        <v>202</v>
      </c>
      <c r="AB1" s="2" t="s">
        <v>60</v>
      </c>
      <c r="AC1" s="2" t="s">
        <v>62</v>
      </c>
      <c r="AD1" s="2" t="s">
        <v>63</v>
      </c>
      <c r="AE1" s="2" t="s">
        <v>203</v>
      </c>
      <c r="AF1" s="2" t="s">
        <v>204</v>
      </c>
      <c r="AG1" s="2" t="s">
        <v>67</v>
      </c>
      <c r="AH1" s="2" t="s">
        <v>68</v>
      </c>
      <c r="AI1" s="2" t="s">
        <v>205</v>
      </c>
      <c r="AJ1" s="2" t="s">
        <v>206</v>
      </c>
      <c r="AK1" s="2" t="s">
        <v>72</v>
      </c>
      <c r="AL1" s="2" t="s">
        <v>73</v>
      </c>
      <c r="AM1" s="2" t="s">
        <v>74</v>
      </c>
      <c r="AN1" s="2" t="s">
        <v>207</v>
      </c>
      <c r="AO1" s="2" t="s">
        <v>76</v>
      </c>
      <c r="AP1" s="2" t="s">
        <v>77</v>
      </c>
      <c r="AQ1" s="2" t="s">
        <v>208</v>
      </c>
      <c r="AR1" s="2" t="s">
        <v>209</v>
      </c>
      <c r="AS1" s="2" t="s">
        <v>210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100</v>
      </c>
      <c r="AZ1" s="2" t="s">
        <v>101</v>
      </c>
      <c r="BA1" s="2" t="s">
        <v>91</v>
      </c>
      <c r="BB1" s="2" t="s">
        <v>92</v>
      </c>
      <c r="BC1" s="2" t="s">
        <v>93</v>
      </c>
      <c r="BD1" s="2" t="s">
        <v>94</v>
      </c>
      <c r="BE1" s="2" t="s">
        <v>95</v>
      </c>
      <c r="BF1" s="2" t="s">
        <v>96</v>
      </c>
      <c r="BG1" s="2" t="s">
        <v>97</v>
      </c>
      <c r="BH1" s="2" t="s">
        <v>98</v>
      </c>
      <c r="BI1" s="2" t="s">
        <v>99</v>
      </c>
      <c r="BJ1" s="2" t="s">
        <v>239</v>
      </c>
      <c r="BK1" s="2" t="s">
        <v>283</v>
      </c>
      <c r="BL1" s="2" t="s">
        <v>284</v>
      </c>
      <c r="BM1" s="2" t="s">
        <v>285</v>
      </c>
      <c r="BN1" s="2" t="s">
        <v>286</v>
      </c>
      <c r="BO1" s="2" t="s">
        <v>287</v>
      </c>
      <c r="BP1" s="2" t="s">
        <v>288</v>
      </c>
      <c r="BQ1" s="2" t="s">
        <v>289</v>
      </c>
      <c r="BR1" s="2" t="s">
        <v>290</v>
      </c>
      <c r="BS1" s="2" t="s">
        <v>291</v>
      </c>
      <c r="BT1" s="2" t="s">
        <v>249</v>
      </c>
      <c r="BU1" s="2" t="s">
        <v>250</v>
      </c>
      <c r="BV1" s="2" t="s">
        <v>251</v>
      </c>
      <c r="BW1" s="2" t="s">
        <v>252</v>
      </c>
      <c r="BX1" s="2" t="s">
        <v>253</v>
      </c>
      <c r="BY1" s="2" t="s">
        <v>254</v>
      </c>
      <c r="BZ1" s="2" t="s">
        <v>255</v>
      </c>
    </row>
    <row r="2" spans="1:78" x14ac:dyDescent="0.35">
      <c r="A2" s="3" t="s">
        <v>102</v>
      </c>
      <c r="B2" s="3">
        <v>15.555999999999999</v>
      </c>
      <c r="C2" s="3">
        <v>5.8959999999999999</v>
      </c>
      <c r="F2" s="3">
        <v>542.80999999999995</v>
      </c>
      <c r="G2" s="3">
        <v>34.07</v>
      </c>
      <c r="J2" s="3">
        <v>9.1159999999999997</v>
      </c>
      <c r="L2" s="3">
        <v>12.571999999999999</v>
      </c>
      <c r="N2" s="3">
        <v>2.9498000000000002</v>
      </c>
      <c r="P2" s="3" t="s">
        <v>104</v>
      </c>
      <c r="Q2" s="3" t="s">
        <v>211</v>
      </c>
      <c r="R2" s="3" t="s">
        <v>105</v>
      </c>
      <c r="S2" s="3">
        <v>1</v>
      </c>
      <c r="T2" s="3">
        <v>6</v>
      </c>
      <c r="U2" s="3">
        <v>16</v>
      </c>
      <c r="V2" s="3">
        <v>400</v>
      </c>
      <c r="W2" s="3">
        <v>132</v>
      </c>
      <c r="X2" s="4">
        <v>195563520</v>
      </c>
      <c r="Y2" s="4">
        <v>195563520</v>
      </c>
      <c r="Z2" s="3">
        <v>0</v>
      </c>
      <c r="AA2" s="3" t="s">
        <v>212</v>
      </c>
      <c r="AB2" s="3">
        <v>98.55</v>
      </c>
      <c r="AC2" s="3">
        <v>15330.2</v>
      </c>
      <c r="AD2" s="3">
        <v>15555.8</v>
      </c>
      <c r="AE2" s="3">
        <v>20267.3</v>
      </c>
      <c r="AF2" s="3">
        <v>21451.7</v>
      </c>
      <c r="AG2" s="3">
        <v>5895.9</v>
      </c>
      <c r="AH2" s="3">
        <v>27.48</v>
      </c>
      <c r="AI2" s="3">
        <v>9.1159999999999997</v>
      </c>
      <c r="AJ2" s="3">
        <v>12.571999999999999</v>
      </c>
      <c r="AK2" s="3">
        <v>26.891999999999999</v>
      </c>
      <c r="AL2" s="3">
        <v>25.303999999999998</v>
      </c>
      <c r="AM2" s="3">
        <v>1.5880000000000001</v>
      </c>
      <c r="AN2" s="3">
        <v>576.88</v>
      </c>
      <c r="AO2" s="3">
        <v>542.80999999999995</v>
      </c>
      <c r="AP2" s="3">
        <v>34.07</v>
      </c>
      <c r="AQ2" s="3">
        <v>2.9498000000000002</v>
      </c>
      <c r="AR2" s="3">
        <v>27.332000000000001</v>
      </c>
      <c r="AS2" s="3">
        <v>2.1741000000000001</v>
      </c>
      <c r="AT2" s="3">
        <v>1</v>
      </c>
      <c r="AU2" s="3">
        <v>1</v>
      </c>
      <c r="AV2" s="3">
        <v>3</v>
      </c>
      <c r="AW2" s="4">
        <v>5595</v>
      </c>
      <c r="AX2" s="3">
        <v>120.02</v>
      </c>
      <c r="AY2" s="3" t="s">
        <v>292</v>
      </c>
      <c r="AZ2" s="3" t="s">
        <v>293</v>
      </c>
      <c r="BA2" s="3">
        <v>22309.3</v>
      </c>
      <c r="BB2" s="3">
        <v>22767.3</v>
      </c>
      <c r="BC2" s="3">
        <v>3.45</v>
      </c>
      <c r="BD2" s="3" t="s">
        <v>107</v>
      </c>
      <c r="BE2" s="3" t="s">
        <v>256</v>
      </c>
      <c r="BF2" s="3">
        <v>2.82</v>
      </c>
      <c r="BG2" s="3">
        <v>3.19</v>
      </c>
      <c r="BH2" s="3">
        <v>3.56</v>
      </c>
      <c r="BI2" s="3">
        <v>0</v>
      </c>
      <c r="BJ2" s="3">
        <v>2</v>
      </c>
      <c r="BK2" s="3">
        <v>21.379000000000001</v>
      </c>
      <c r="BL2" s="3">
        <v>21.524999999999999</v>
      </c>
      <c r="BM2" s="3">
        <v>7.2999999999999995E-2</v>
      </c>
      <c r="BN2" s="3">
        <v>9.0860000000000003</v>
      </c>
      <c r="BO2" s="3">
        <v>9.1479999999999997</v>
      </c>
      <c r="BP2" s="3">
        <v>3.1E-2</v>
      </c>
      <c r="BQ2" s="3">
        <v>574.63800000000003</v>
      </c>
      <c r="BR2" s="3">
        <v>579.12199999999996</v>
      </c>
      <c r="BS2" s="3">
        <v>2.242</v>
      </c>
      <c r="BT2" s="3">
        <v>2.9384000000000001</v>
      </c>
      <c r="BU2" s="3">
        <v>2.9613</v>
      </c>
      <c r="BV2" s="3">
        <v>1.15E-2</v>
      </c>
      <c r="BW2" s="3">
        <v>1.5840000000000001</v>
      </c>
      <c r="BX2" s="3">
        <v>1.5920000000000001</v>
      </c>
      <c r="BY2" s="3">
        <v>25.295000000000002</v>
      </c>
      <c r="BZ2" s="3">
        <v>25.312999999999999</v>
      </c>
    </row>
    <row r="3" spans="1:78" x14ac:dyDescent="0.35">
      <c r="A3" s="3" t="s">
        <v>108</v>
      </c>
      <c r="B3" s="3">
        <v>8.2750000000000004</v>
      </c>
      <c r="C3" s="3">
        <v>11.537000000000001</v>
      </c>
      <c r="F3" s="3">
        <v>517.94000000000005</v>
      </c>
      <c r="G3" s="3">
        <v>33.75</v>
      </c>
      <c r="J3" s="3">
        <v>9.8710000000000004</v>
      </c>
      <c r="L3" s="3">
        <v>23.634</v>
      </c>
      <c r="N3" s="3">
        <v>2.8210000000000002</v>
      </c>
      <c r="P3" s="3" t="s">
        <v>104</v>
      </c>
      <c r="Q3" s="3" t="s">
        <v>213</v>
      </c>
      <c r="R3" s="3" t="s">
        <v>109</v>
      </c>
      <c r="S3" s="3">
        <v>1</v>
      </c>
      <c r="T3" s="3">
        <v>10</v>
      </c>
      <c r="U3" s="3">
        <v>32</v>
      </c>
      <c r="V3" s="3">
        <v>375</v>
      </c>
      <c r="W3" s="3">
        <v>132</v>
      </c>
      <c r="X3" s="4">
        <v>195563520</v>
      </c>
      <c r="Y3" s="4">
        <v>195563520</v>
      </c>
      <c r="Z3" s="3">
        <v>0</v>
      </c>
      <c r="AA3" s="3" t="s">
        <v>212</v>
      </c>
      <c r="AB3" s="3">
        <v>98.81</v>
      </c>
      <c r="AC3" s="3">
        <v>8176.1</v>
      </c>
      <c r="AD3" s="3">
        <v>8274.6</v>
      </c>
      <c r="AE3" s="3">
        <v>17338.400000000001</v>
      </c>
      <c r="AF3" s="3">
        <v>19811.349999999999</v>
      </c>
      <c r="AG3" s="3">
        <v>11536.8</v>
      </c>
      <c r="AH3" s="3">
        <v>58.23</v>
      </c>
      <c r="AI3" s="3">
        <v>9.8710000000000004</v>
      </c>
      <c r="AJ3" s="3">
        <v>23.634</v>
      </c>
      <c r="AK3" s="3">
        <v>27.847000000000001</v>
      </c>
      <c r="AL3" s="3">
        <v>26.1435</v>
      </c>
      <c r="AM3" s="3">
        <v>1.704</v>
      </c>
      <c r="AN3" s="3">
        <v>551.69000000000005</v>
      </c>
      <c r="AO3" s="3">
        <v>517.94000000000005</v>
      </c>
      <c r="AP3" s="3">
        <v>33.75</v>
      </c>
      <c r="AQ3" s="3">
        <v>2.8210000000000002</v>
      </c>
      <c r="AR3" s="3">
        <v>29.79</v>
      </c>
      <c r="AS3" s="3">
        <v>1.2605</v>
      </c>
      <c r="AT3" s="3">
        <v>1</v>
      </c>
      <c r="AU3" s="3">
        <v>1</v>
      </c>
      <c r="AV3" s="3">
        <v>3</v>
      </c>
      <c r="AW3" s="4">
        <v>6058</v>
      </c>
      <c r="AX3" s="3">
        <v>120.02</v>
      </c>
      <c r="AY3" s="3" t="s">
        <v>294</v>
      </c>
      <c r="AZ3" s="3" t="s">
        <v>293</v>
      </c>
      <c r="BA3" s="3">
        <v>20669.7</v>
      </c>
      <c r="BB3" s="3">
        <v>21165.4</v>
      </c>
      <c r="BC3" s="3">
        <v>4.34</v>
      </c>
      <c r="BD3" s="3" t="s">
        <v>107</v>
      </c>
      <c r="BE3" s="3" t="s">
        <v>256</v>
      </c>
      <c r="BF3" s="3">
        <v>2.75</v>
      </c>
      <c r="BG3" s="3">
        <v>2.96</v>
      </c>
      <c r="BH3" s="3">
        <v>3.25</v>
      </c>
      <c r="BI3" s="3">
        <v>0</v>
      </c>
      <c r="BJ3" s="3">
        <v>2</v>
      </c>
      <c r="BK3" s="3">
        <v>19.747</v>
      </c>
      <c r="BL3" s="3">
        <v>19.876000000000001</v>
      </c>
      <c r="BM3" s="3">
        <v>6.5000000000000002E-2</v>
      </c>
      <c r="BN3" s="3">
        <v>9.8390000000000004</v>
      </c>
      <c r="BO3" s="3">
        <v>9.9039999999999999</v>
      </c>
      <c r="BP3" s="3">
        <v>3.2000000000000001E-2</v>
      </c>
      <c r="BQ3" s="3">
        <v>550.80600000000004</v>
      </c>
      <c r="BR3" s="3">
        <v>552.54899999999998</v>
      </c>
      <c r="BS3" s="3">
        <v>0.871</v>
      </c>
      <c r="BT3" s="3">
        <v>2.8165</v>
      </c>
      <c r="BU3" s="3">
        <v>2.8254000000000001</v>
      </c>
      <c r="BV3" s="3">
        <v>4.4999999999999997E-3</v>
      </c>
      <c r="BW3" s="3">
        <v>1.554</v>
      </c>
      <c r="BX3" s="3">
        <v>1.853</v>
      </c>
      <c r="BY3" s="3">
        <v>26.129000000000001</v>
      </c>
      <c r="BZ3" s="3">
        <v>26.158000000000001</v>
      </c>
    </row>
    <row r="4" spans="1:78" x14ac:dyDescent="0.35">
      <c r="A4" s="3" t="s">
        <v>110</v>
      </c>
      <c r="D4" s="3">
        <v>7.9829999999999997</v>
      </c>
      <c r="E4" s="3">
        <v>5.3520000000000003</v>
      </c>
      <c r="H4" s="3">
        <v>357.37</v>
      </c>
      <c r="I4" s="3">
        <v>34.56</v>
      </c>
      <c r="K4" s="3">
        <v>14.664999999999999</v>
      </c>
      <c r="M4" s="3">
        <v>24.498999999999999</v>
      </c>
      <c r="O4" s="3">
        <v>2.0041000000000002</v>
      </c>
      <c r="P4" s="3" t="s">
        <v>214</v>
      </c>
      <c r="Q4" s="3" t="s">
        <v>215</v>
      </c>
      <c r="R4" s="3" t="s">
        <v>105</v>
      </c>
      <c r="S4" s="3">
        <v>2</v>
      </c>
      <c r="T4" s="3">
        <v>12</v>
      </c>
      <c r="U4" s="3">
        <v>32</v>
      </c>
      <c r="V4" s="3">
        <v>394</v>
      </c>
      <c r="W4" s="3">
        <v>132</v>
      </c>
      <c r="X4" s="4">
        <v>195563520</v>
      </c>
      <c r="Y4" s="4">
        <v>195563520</v>
      </c>
      <c r="Z4" s="3">
        <v>0</v>
      </c>
      <c r="AA4" s="3" t="s">
        <v>216</v>
      </c>
      <c r="AB4" s="3">
        <v>99.13</v>
      </c>
      <c r="AC4" s="3">
        <v>7913.2</v>
      </c>
      <c r="AD4" s="3">
        <v>7982.7</v>
      </c>
      <c r="AE4" s="3">
        <v>12560.8</v>
      </c>
      <c r="AF4" s="3">
        <v>13334.95</v>
      </c>
      <c r="AG4" s="3">
        <v>5352.3</v>
      </c>
      <c r="AH4" s="3">
        <v>40.14</v>
      </c>
      <c r="AI4" s="3">
        <v>14.664999999999999</v>
      </c>
      <c r="AJ4" s="3">
        <v>24.498999999999999</v>
      </c>
      <c r="AK4" s="3">
        <v>29.390999999999998</v>
      </c>
      <c r="AL4" s="3">
        <v>26.799499999999998</v>
      </c>
      <c r="AM4" s="3">
        <v>2.5910000000000002</v>
      </c>
      <c r="AN4" s="3">
        <v>391.93</v>
      </c>
      <c r="AO4" s="3">
        <v>357.37</v>
      </c>
      <c r="AP4" s="3">
        <v>34.56</v>
      </c>
      <c r="AQ4" s="3">
        <v>2.0041000000000002</v>
      </c>
      <c r="AR4" s="3">
        <v>30.744</v>
      </c>
      <c r="AS4" s="3">
        <v>1.2548999999999999</v>
      </c>
      <c r="AT4" s="3">
        <v>0.99275000000000002</v>
      </c>
      <c r="AU4" s="3">
        <v>0.98970000000000002</v>
      </c>
      <c r="AV4" s="3">
        <v>3</v>
      </c>
      <c r="AW4" s="4">
        <v>9001</v>
      </c>
      <c r="AX4" s="3">
        <v>120.01</v>
      </c>
      <c r="AY4" s="3" t="s">
        <v>295</v>
      </c>
      <c r="AZ4" s="3" t="s">
        <v>293</v>
      </c>
      <c r="BA4" s="3">
        <v>13559.7</v>
      </c>
      <c r="BB4" s="3">
        <v>13851.7</v>
      </c>
      <c r="BC4" s="3">
        <v>3.64</v>
      </c>
      <c r="BD4" s="3" t="s">
        <v>107</v>
      </c>
      <c r="BE4" s="3" t="s">
        <v>256</v>
      </c>
      <c r="BF4" s="3">
        <v>2.83</v>
      </c>
      <c r="BG4" s="3">
        <v>3.2</v>
      </c>
      <c r="BH4" s="3">
        <v>3.81</v>
      </c>
      <c r="BI4" s="3">
        <v>0</v>
      </c>
      <c r="BJ4" s="3">
        <v>2</v>
      </c>
      <c r="BK4" s="3">
        <v>13.180999999999999</v>
      </c>
      <c r="BL4" s="3">
        <v>13.489000000000001</v>
      </c>
      <c r="BM4" s="3">
        <v>0.154</v>
      </c>
      <c r="BN4" s="3">
        <v>14.497999999999999</v>
      </c>
      <c r="BO4" s="3">
        <v>14.837</v>
      </c>
      <c r="BP4" s="3">
        <v>0.17</v>
      </c>
      <c r="BQ4" s="3">
        <v>390.64400000000001</v>
      </c>
      <c r="BR4" s="3">
        <v>393.13499999999999</v>
      </c>
      <c r="BS4" s="3">
        <v>1.246</v>
      </c>
      <c r="BT4" s="3">
        <v>1.9975000000000001</v>
      </c>
      <c r="BU4" s="3">
        <v>2.0103</v>
      </c>
      <c r="BV4" s="3">
        <v>6.4000000000000003E-3</v>
      </c>
      <c r="BW4" s="3">
        <v>2.2989999999999999</v>
      </c>
      <c r="BX4" s="3">
        <v>2.8839999999999999</v>
      </c>
      <c r="BY4" s="3">
        <v>26.754000000000001</v>
      </c>
      <c r="BZ4" s="3">
        <v>26.844999999999999</v>
      </c>
    </row>
    <row r="5" spans="1:78" x14ac:dyDescent="0.35">
      <c r="A5" s="3" t="s">
        <v>114</v>
      </c>
      <c r="B5" s="3">
        <v>5.9740000000000002</v>
      </c>
      <c r="C5" s="3">
        <v>14.81</v>
      </c>
      <c r="F5" s="3">
        <v>560.51</v>
      </c>
      <c r="G5" s="3">
        <v>29.34</v>
      </c>
      <c r="J5" s="3">
        <v>9.4090000000000007</v>
      </c>
      <c r="L5" s="3">
        <v>32.737000000000002</v>
      </c>
      <c r="N5" s="3">
        <v>3.0160999999999998</v>
      </c>
      <c r="P5" s="3" t="s">
        <v>104</v>
      </c>
      <c r="Q5" s="3" t="s">
        <v>217</v>
      </c>
      <c r="R5" s="3" t="s">
        <v>115</v>
      </c>
      <c r="S5" s="3">
        <v>1</v>
      </c>
      <c r="T5" s="3">
        <v>13</v>
      </c>
      <c r="U5" s="3">
        <v>48</v>
      </c>
      <c r="V5" s="3">
        <v>350</v>
      </c>
      <c r="W5" s="3">
        <v>132</v>
      </c>
      <c r="X5" s="4">
        <v>195563520</v>
      </c>
      <c r="Y5" s="4">
        <v>197061120</v>
      </c>
      <c r="Z5" s="3">
        <v>0.76</v>
      </c>
      <c r="AA5" s="3" t="s">
        <v>212</v>
      </c>
      <c r="AB5" s="3">
        <v>98.51</v>
      </c>
      <c r="AC5" s="3">
        <v>5884.8</v>
      </c>
      <c r="AD5" s="3">
        <v>5973.8</v>
      </c>
      <c r="AE5" s="3">
        <v>17978.3</v>
      </c>
      <c r="AF5" s="3">
        <v>20784.2</v>
      </c>
      <c r="AG5" s="3">
        <v>14810.4</v>
      </c>
      <c r="AH5" s="3">
        <v>71.260000000000005</v>
      </c>
      <c r="AI5" s="3">
        <v>9.4090000000000007</v>
      </c>
      <c r="AJ5" s="3">
        <v>32.737000000000002</v>
      </c>
      <c r="AK5" s="3">
        <v>28.3795</v>
      </c>
      <c r="AL5" s="3">
        <v>26.968</v>
      </c>
      <c r="AM5" s="3">
        <v>1.4119999999999999</v>
      </c>
      <c r="AN5" s="3">
        <v>589.85</v>
      </c>
      <c r="AO5" s="3">
        <v>560.51</v>
      </c>
      <c r="AP5" s="3">
        <v>29.34</v>
      </c>
      <c r="AQ5" s="3">
        <v>3.0160999999999998</v>
      </c>
      <c r="AR5" s="3">
        <v>32.234999999999999</v>
      </c>
      <c r="AS5" s="3">
        <v>0.98470000000000002</v>
      </c>
      <c r="AT5" s="3">
        <v>1</v>
      </c>
      <c r="AU5" s="3">
        <v>1</v>
      </c>
      <c r="AV5" s="3">
        <v>3</v>
      </c>
      <c r="AW5" s="4">
        <v>5775</v>
      </c>
      <c r="AX5" s="3">
        <v>120.03</v>
      </c>
      <c r="AY5" s="3" t="s">
        <v>296</v>
      </c>
      <c r="AZ5" s="3" t="s">
        <v>293</v>
      </c>
      <c r="BA5" s="3">
        <v>22262.400000000001</v>
      </c>
      <c r="BB5" s="3">
        <v>22640.5</v>
      </c>
      <c r="BC5" s="3">
        <v>4.59</v>
      </c>
      <c r="BD5" s="3" t="s">
        <v>107</v>
      </c>
      <c r="BE5" s="3" t="s">
        <v>256</v>
      </c>
      <c r="BF5" s="3">
        <v>2.67</v>
      </c>
      <c r="BG5" s="3">
        <v>3.3</v>
      </c>
      <c r="BH5" s="3">
        <v>3.64</v>
      </c>
      <c r="BI5" s="3">
        <v>0</v>
      </c>
      <c r="BJ5" s="3">
        <v>2</v>
      </c>
      <c r="BK5" s="3">
        <v>20.7</v>
      </c>
      <c r="BL5" s="3">
        <v>20.867999999999999</v>
      </c>
      <c r="BM5" s="3">
        <v>8.4000000000000005E-2</v>
      </c>
      <c r="BN5" s="3">
        <v>9.3710000000000004</v>
      </c>
      <c r="BO5" s="3">
        <v>9.4469999999999992</v>
      </c>
      <c r="BP5" s="3">
        <v>3.7999999999999999E-2</v>
      </c>
      <c r="BQ5" s="3">
        <v>589.64499999999998</v>
      </c>
      <c r="BR5" s="3">
        <v>590.02700000000004</v>
      </c>
      <c r="BS5" s="3">
        <v>0.191</v>
      </c>
      <c r="BT5" s="3">
        <v>3.0150999999999999</v>
      </c>
      <c r="BU5" s="3">
        <v>3.0171000000000001</v>
      </c>
      <c r="BV5" s="3">
        <v>1E-3</v>
      </c>
      <c r="BW5" s="3">
        <v>1.2490000000000001</v>
      </c>
      <c r="BX5" s="3">
        <v>1.5740000000000001</v>
      </c>
      <c r="BY5" s="3">
        <v>26.911000000000001</v>
      </c>
      <c r="BZ5" s="3">
        <v>27.024999999999999</v>
      </c>
    </row>
    <row r="6" spans="1:78" x14ac:dyDescent="0.35">
      <c r="A6" s="3" t="s">
        <v>123</v>
      </c>
      <c r="B6" s="3">
        <v>4.7709999999999999</v>
      </c>
      <c r="C6" s="3">
        <v>20.542000000000002</v>
      </c>
      <c r="F6" s="3">
        <v>768.47</v>
      </c>
      <c r="G6" s="3">
        <v>31.57</v>
      </c>
      <c r="J6" s="3">
        <v>7.726</v>
      </c>
      <c r="L6" s="3">
        <v>40.987000000000002</v>
      </c>
      <c r="N6" s="3">
        <v>4.0909000000000004</v>
      </c>
      <c r="P6" s="3" t="s">
        <v>104</v>
      </c>
      <c r="Q6" s="3" t="s">
        <v>218</v>
      </c>
      <c r="R6" s="3" t="s">
        <v>124</v>
      </c>
      <c r="S6" s="3">
        <v>1</v>
      </c>
      <c r="T6" s="3">
        <v>17</v>
      </c>
      <c r="U6" s="3">
        <v>64</v>
      </c>
      <c r="V6" s="3">
        <v>325</v>
      </c>
      <c r="W6" s="3">
        <v>132</v>
      </c>
      <c r="X6" s="4">
        <v>195563520</v>
      </c>
      <c r="Y6" s="4">
        <v>195563520</v>
      </c>
      <c r="Z6" s="3">
        <v>0</v>
      </c>
      <c r="AA6" s="3" t="s">
        <v>212</v>
      </c>
      <c r="AB6" s="3">
        <v>98.86</v>
      </c>
      <c r="AC6" s="4">
        <v>4717</v>
      </c>
      <c r="AD6" s="3">
        <v>4771.3999999999996</v>
      </c>
      <c r="AE6" s="3">
        <v>21744.6</v>
      </c>
      <c r="AF6" s="3">
        <v>25313.7</v>
      </c>
      <c r="AG6" s="3">
        <v>20542.3</v>
      </c>
      <c r="AH6" s="3">
        <v>81.150000000000006</v>
      </c>
      <c r="AI6" s="3">
        <v>7.726</v>
      </c>
      <c r="AJ6" s="3">
        <v>40.987000000000002</v>
      </c>
      <c r="AK6" s="3">
        <v>31.605</v>
      </c>
      <c r="AL6" s="3">
        <v>30.358000000000001</v>
      </c>
      <c r="AM6" s="3">
        <v>1.2470000000000001</v>
      </c>
      <c r="AN6" s="3">
        <v>800.04</v>
      </c>
      <c r="AO6" s="3">
        <v>768.47</v>
      </c>
      <c r="AP6" s="3">
        <v>31.57</v>
      </c>
      <c r="AQ6" s="3">
        <v>4.0909000000000004</v>
      </c>
      <c r="AR6" s="3">
        <v>36.286000000000001</v>
      </c>
      <c r="AS6" s="3">
        <v>0.88529999999999998</v>
      </c>
      <c r="AT6" s="3">
        <v>1</v>
      </c>
      <c r="AU6" s="3">
        <v>1</v>
      </c>
      <c r="AV6" s="3">
        <v>3</v>
      </c>
      <c r="AW6" s="4">
        <v>4741</v>
      </c>
      <c r="AX6" s="3">
        <v>120.01</v>
      </c>
      <c r="AY6" s="3" t="s">
        <v>297</v>
      </c>
      <c r="AZ6" s="3" t="s">
        <v>293</v>
      </c>
      <c r="BA6" s="3">
        <v>26328.9</v>
      </c>
      <c r="BB6" s="3">
        <v>26510.5</v>
      </c>
      <c r="BC6" s="3">
        <v>2.17</v>
      </c>
      <c r="BD6" s="3" t="s">
        <v>107</v>
      </c>
      <c r="BE6" s="3" t="s">
        <v>256</v>
      </c>
      <c r="BF6" s="3">
        <v>2.94</v>
      </c>
      <c r="BG6" s="3">
        <v>3.43</v>
      </c>
      <c r="BH6" s="3">
        <v>3.89</v>
      </c>
      <c r="BI6" s="3">
        <v>0</v>
      </c>
      <c r="BJ6" s="3">
        <v>2</v>
      </c>
      <c r="BK6" s="3">
        <v>25.149000000000001</v>
      </c>
      <c r="BL6" s="3">
        <v>25.478999999999999</v>
      </c>
      <c r="BM6" s="3">
        <v>0.16500000000000001</v>
      </c>
      <c r="BN6" s="3">
        <v>7.6760000000000002</v>
      </c>
      <c r="BO6" s="3">
        <v>7.7759999999999998</v>
      </c>
      <c r="BP6" s="3">
        <v>0.05</v>
      </c>
      <c r="BQ6" s="3">
        <v>786.101</v>
      </c>
      <c r="BR6" s="3">
        <v>814.09199999999998</v>
      </c>
      <c r="BS6" s="3">
        <v>13.996</v>
      </c>
      <c r="BT6" s="3">
        <v>4.0197000000000003</v>
      </c>
      <c r="BU6" s="3">
        <v>4.1627999999999998</v>
      </c>
      <c r="BV6" s="3">
        <v>7.1599999999999997E-2</v>
      </c>
      <c r="BW6" s="3">
        <v>0.86499999999999999</v>
      </c>
      <c r="BX6" s="3">
        <v>1.629</v>
      </c>
      <c r="BY6" s="3">
        <v>30.323</v>
      </c>
      <c r="BZ6" s="3">
        <v>30.393000000000001</v>
      </c>
    </row>
    <row r="7" spans="1:78" x14ac:dyDescent="0.35">
      <c r="A7" s="3" t="s">
        <v>119</v>
      </c>
      <c r="D7" s="3">
        <v>5.1749999999999998</v>
      </c>
      <c r="E7" s="3">
        <v>5.85</v>
      </c>
      <c r="H7" s="3">
        <v>342.62</v>
      </c>
      <c r="I7" s="3">
        <v>29.46</v>
      </c>
      <c r="K7" s="3">
        <v>17.738</v>
      </c>
      <c r="M7" s="3">
        <v>37.789000000000001</v>
      </c>
      <c r="O7" s="3">
        <v>1.9026000000000001</v>
      </c>
      <c r="P7" s="3" t="s">
        <v>214</v>
      </c>
      <c r="Q7" s="3" t="s">
        <v>219</v>
      </c>
      <c r="R7" s="3" t="s">
        <v>105</v>
      </c>
      <c r="S7" s="3">
        <v>3</v>
      </c>
      <c r="T7" s="3">
        <v>18</v>
      </c>
      <c r="U7" s="3">
        <v>48</v>
      </c>
      <c r="V7" s="3">
        <v>399</v>
      </c>
      <c r="W7" s="3">
        <v>132</v>
      </c>
      <c r="X7" s="4">
        <v>195563520</v>
      </c>
      <c r="Y7" s="4">
        <v>195563520</v>
      </c>
      <c r="Z7" s="3">
        <v>0</v>
      </c>
      <c r="AA7" s="3" t="s">
        <v>220</v>
      </c>
      <c r="AB7" s="3">
        <v>98.99</v>
      </c>
      <c r="AC7" s="3">
        <v>5122.8999999999996</v>
      </c>
      <c r="AD7" s="3">
        <v>5175.2</v>
      </c>
      <c r="AE7" s="3">
        <v>10619.3</v>
      </c>
      <c r="AF7" s="3">
        <v>11025.35</v>
      </c>
      <c r="AG7" s="3">
        <v>5850.2</v>
      </c>
      <c r="AH7" s="3">
        <v>53.06</v>
      </c>
      <c r="AI7" s="3">
        <v>17.738</v>
      </c>
      <c r="AJ7" s="3">
        <v>37.789000000000001</v>
      </c>
      <c r="AK7" s="3">
        <v>33.747999999999998</v>
      </c>
      <c r="AL7" s="3">
        <v>31.076000000000001</v>
      </c>
      <c r="AM7" s="3">
        <v>2.6720000000000002</v>
      </c>
      <c r="AN7" s="3">
        <v>372.08</v>
      </c>
      <c r="AO7" s="3">
        <v>342.62</v>
      </c>
      <c r="AP7" s="3">
        <v>29.46</v>
      </c>
      <c r="AQ7" s="3">
        <v>1.9026000000000001</v>
      </c>
      <c r="AR7" s="3">
        <v>37.179000000000002</v>
      </c>
      <c r="AS7" s="3">
        <v>0.9839</v>
      </c>
      <c r="AT7" s="3">
        <v>0.98660000000000003</v>
      </c>
      <c r="AU7" s="3">
        <v>1</v>
      </c>
      <c r="AV7" s="3">
        <v>3</v>
      </c>
      <c r="AW7" s="4">
        <v>10885</v>
      </c>
      <c r="AX7" s="3">
        <v>120.01</v>
      </c>
      <c r="AY7" s="3" t="s">
        <v>298</v>
      </c>
      <c r="AZ7" s="3" t="s">
        <v>293</v>
      </c>
      <c r="BA7" s="3">
        <v>11358.9</v>
      </c>
      <c r="BB7" s="3">
        <v>11686.7</v>
      </c>
      <c r="BC7" s="3">
        <v>5.22</v>
      </c>
      <c r="BD7" s="3" t="s">
        <v>107</v>
      </c>
      <c r="BE7" s="3" t="s">
        <v>256</v>
      </c>
      <c r="BF7" s="3">
        <v>2.86</v>
      </c>
      <c r="BG7" s="3">
        <v>3.19</v>
      </c>
      <c r="BH7" s="3">
        <v>3.62</v>
      </c>
      <c r="BI7" s="3">
        <v>0</v>
      </c>
      <c r="BJ7" s="3">
        <v>2</v>
      </c>
      <c r="BK7" s="3">
        <v>10.968999999999999</v>
      </c>
      <c r="BL7" s="3">
        <v>11.082000000000001</v>
      </c>
      <c r="BM7" s="3">
        <v>5.6000000000000001E-2</v>
      </c>
      <c r="BN7" s="3">
        <v>17.646999999999998</v>
      </c>
      <c r="BO7" s="3">
        <v>17.829000000000001</v>
      </c>
      <c r="BP7" s="3">
        <v>9.0999999999999998E-2</v>
      </c>
      <c r="BQ7" s="3">
        <v>369.32299999999998</v>
      </c>
      <c r="BR7" s="3">
        <v>374.79599999999999</v>
      </c>
      <c r="BS7" s="3">
        <v>2.7370000000000001</v>
      </c>
      <c r="BT7" s="3">
        <v>1.8885000000000001</v>
      </c>
      <c r="BU7" s="3">
        <v>1.9165000000000001</v>
      </c>
      <c r="BV7" s="3">
        <v>1.4E-2</v>
      </c>
      <c r="BW7" s="3">
        <v>2.335</v>
      </c>
      <c r="BX7" s="3">
        <v>3.0089999999999999</v>
      </c>
      <c r="BY7" s="3">
        <v>30.992000000000001</v>
      </c>
      <c r="BZ7" s="3">
        <v>31.16</v>
      </c>
    </row>
    <row r="8" spans="1:78" x14ac:dyDescent="0.35">
      <c r="A8" s="3" t="s">
        <v>125</v>
      </c>
      <c r="D8" s="3">
        <v>4.391</v>
      </c>
      <c r="E8" s="3">
        <v>10.478999999999999</v>
      </c>
      <c r="H8" s="3">
        <v>469.08</v>
      </c>
      <c r="I8" s="3">
        <v>31.15</v>
      </c>
      <c r="K8" s="3">
        <v>13.151999999999999</v>
      </c>
      <c r="M8" s="3">
        <v>44.542000000000002</v>
      </c>
      <c r="O8" s="3">
        <v>2.5579000000000001</v>
      </c>
      <c r="P8" s="3" t="s">
        <v>214</v>
      </c>
      <c r="Q8" s="3" t="s">
        <v>221</v>
      </c>
      <c r="R8" s="3" t="s">
        <v>109</v>
      </c>
      <c r="S8" s="3">
        <v>2</v>
      </c>
      <c r="T8" s="3">
        <v>20</v>
      </c>
      <c r="U8" s="3">
        <v>64</v>
      </c>
      <c r="V8" s="3">
        <v>361</v>
      </c>
      <c r="W8" s="3">
        <v>132</v>
      </c>
      <c r="X8" s="4">
        <v>195563520</v>
      </c>
      <c r="Y8" s="4">
        <v>195563520</v>
      </c>
      <c r="Z8" s="3">
        <v>0</v>
      </c>
      <c r="AA8" s="3" t="s">
        <v>222</v>
      </c>
      <c r="AB8" s="3">
        <v>98.66</v>
      </c>
      <c r="AC8" s="3">
        <v>4331.7</v>
      </c>
      <c r="AD8" s="3">
        <v>4390.5</v>
      </c>
      <c r="AE8" s="3">
        <v>13980.5</v>
      </c>
      <c r="AF8" s="3">
        <v>14869.1</v>
      </c>
      <c r="AG8" s="3">
        <v>10478.6</v>
      </c>
      <c r="AH8" s="3">
        <v>70.47</v>
      </c>
      <c r="AI8" s="3">
        <v>13.151999999999999</v>
      </c>
      <c r="AJ8" s="3">
        <v>44.542000000000002</v>
      </c>
      <c r="AK8" s="3">
        <v>33.642499999999998</v>
      </c>
      <c r="AL8" s="3">
        <v>31.547499999999999</v>
      </c>
      <c r="AM8" s="3">
        <v>2.0950000000000002</v>
      </c>
      <c r="AN8" s="3">
        <v>500.23</v>
      </c>
      <c r="AO8" s="3">
        <v>469.08</v>
      </c>
      <c r="AP8" s="3">
        <v>31.15</v>
      </c>
      <c r="AQ8" s="3">
        <v>2.5579000000000001</v>
      </c>
      <c r="AR8" s="3">
        <v>38.232999999999997</v>
      </c>
      <c r="AS8" s="3">
        <v>0.85840000000000005</v>
      </c>
      <c r="AT8" s="3">
        <v>0.99060000000000004</v>
      </c>
      <c r="AU8" s="3">
        <v>0.99429999999999996</v>
      </c>
      <c r="AV8" s="3">
        <v>3</v>
      </c>
      <c r="AW8" s="4">
        <v>8072</v>
      </c>
      <c r="AX8" s="3">
        <v>120.02</v>
      </c>
      <c r="AY8" s="3" t="s">
        <v>299</v>
      </c>
      <c r="AZ8" s="3" t="s">
        <v>293</v>
      </c>
      <c r="BA8" s="3">
        <v>15588.1</v>
      </c>
      <c r="BB8" s="3">
        <v>16026.5</v>
      </c>
      <c r="BC8" s="3">
        <v>4.97</v>
      </c>
      <c r="BD8" s="3" t="s">
        <v>107</v>
      </c>
      <c r="BE8" s="3" t="s">
        <v>256</v>
      </c>
      <c r="BF8" s="3">
        <v>2.88</v>
      </c>
      <c r="BG8" s="3">
        <v>3.28</v>
      </c>
      <c r="BH8" s="3">
        <v>3.74</v>
      </c>
      <c r="BI8" s="3">
        <v>0</v>
      </c>
      <c r="BJ8" s="3">
        <v>2</v>
      </c>
      <c r="BK8" s="3">
        <v>14.776999999999999</v>
      </c>
      <c r="BL8" s="3">
        <v>14.961</v>
      </c>
      <c r="BM8" s="3">
        <v>9.1999999999999998E-2</v>
      </c>
      <c r="BN8" s="3">
        <v>13.071</v>
      </c>
      <c r="BO8" s="3">
        <v>13.234</v>
      </c>
      <c r="BP8" s="3">
        <v>8.1000000000000003E-2</v>
      </c>
      <c r="BQ8" s="3">
        <v>498.48899999999998</v>
      </c>
      <c r="BR8" s="3">
        <v>501.91899999999998</v>
      </c>
      <c r="BS8" s="3">
        <v>1.7150000000000001</v>
      </c>
      <c r="BT8" s="3">
        <v>2.5489999999999999</v>
      </c>
      <c r="BU8" s="3">
        <v>2.5665</v>
      </c>
      <c r="BV8" s="3">
        <v>8.8000000000000005E-3</v>
      </c>
      <c r="BW8" s="3">
        <v>1.7370000000000001</v>
      </c>
      <c r="BX8" s="3">
        <v>2.4529999999999998</v>
      </c>
      <c r="BY8" s="3">
        <v>31.513000000000002</v>
      </c>
      <c r="BZ8" s="3">
        <v>31.582000000000001</v>
      </c>
    </row>
    <row r="9" spans="1:78" x14ac:dyDescent="0.35">
      <c r="A9" s="3" t="s">
        <v>127</v>
      </c>
      <c r="B9" s="3">
        <v>3.4980000000000002</v>
      </c>
      <c r="C9" s="3">
        <v>30.303999999999998</v>
      </c>
      <c r="F9" s="3">
        <v>1085.74</v>
      </c>
      <c r="G9" s="3">
        <v>16.559999999999999</v>
      </c>
      <c r="J9" s="3">
        <v>5.7859999999999996</v>
      </c>
      <c r="L9" s="3">
        <v>55.908999999999999</v>
      </c>
      <c r="N9" s="3">
        <v>5.6365999999999996</v>
      </c>
      <c r="P9" s="3" t="s">
        <v>104</v>
      </c>
      <c r="Q9" s="3" t="s">
        <v>223</v>
      </c>
      <c r="R9" s="3" t="s">
        <v>128</v>
      </c>
      <c r="S9" s="3">
        <v>1</v>
      </c>
      <c r="T9" s="3">
        <v>24</v>
      </c>
      <c r="U9" s="3">
        <v>96</v>
      </c>
      <c r="V9" s="3">
        <v>300</v>
      </c>
      <c r="W9" s="3">
        <v>132</v>
      </c>
      <c r="X9" s="4">
        <v>195563520</v>
      </c>
      <c r="Y9" s="4">
        <v>198789120</v>
      </c>
      <c r="Z9" s="3">
        <v>1.623</v>
      </c>
      <c r="AA9" s="3" t="s">
        <v>212</v>
      </c>
      <c r="AB9" s="3">
        <v>99</v>
      </c>
      <c r="AC9" s="3">
        <v>3462.9</v>
      </c>
      <c r="AD9" s="3">
        <v>3497.9</v>
      </c>
      <c r="AE9" s="3">
        <v>27263.75</v>
      </c>
      <c r="AF9" s="3">
        <v>33802.15</v>
      </c>
      <c r="AG9" s="3">
        <v>30304.3</v>
      </c>
      <c r="AH9" s="3">
        <v>89.65</v>
      </c>
      <c r="AI9" s="3">
        <v>5.7859999999999996</v>
      </c>
      <c r="AJ9" s="3">
        <v>55.908999999999999</v>
      </c>
      <c r="AK9" s="3">
        <v>32.610500000000002</v>
      </c>
      <c r="AL9" s="3">
        <v>32.1205</v>
      </c>
      <c r="AM9" s="3">
        <v>0.49</v>
      </c>
      <c r="AN9" s="3">
        <v>1102.31</v>
      </c>
      <c r="AO9" s="3">
        <v>1085.74</v>
      </c>
      <c r="AP9" s="3">
        <v>16.559999999999999</v>
      </c>
      <c r="AQ9" s="3">
        <v>5.6365999999999996</v>
      </c>
      <c r="AR9" s="3">
        <v>40.43</v>
      </c>
      <c r="AS9" s="3">
        <v>0.72309999999999997</v>
      </c>
      <c r="AT9" s="3">
        <v>1</v>
      </c>
      <c r="AU9" s="3">
        <v>1</v>
      </c>
      <c r="AV9" s="3">
        <v>3</v>
      </c>
      <c r="AW9" s="4">
        <v>3552</v>
      </c>
      <c r="AX9" s="3">
        <v>120.05</v>
      </c>
      <c r="AY9" s="3" t="s">
        <v>300</v>
      </c>
      <c r="AZ9" s="3" t="s">
        <v>293</v>
      </c>
      <c r="BA9" s="3">
        <v>35146.800000000003</v>
      </c>
      <c r="BB9" s="3">
        <v>35484.9</v>
      </c>
      <c r="BC9" s="3">
        <v>3.22</v>
      </c>
      <c r="BD9" s="3" t="s">
        <v>107</v>
      </c>
      <c r="BE9" s="3" t="s">
        <v>256</v>
      </c>
      <c r="BF9" s="3">
        <v>3.11</v>
      </c>
      <c r="BG9" s="3">
        <v>3.02</v>
      </c>
      <c r="BH9" s="3">
        <v>3.5</v>
      </c>
      <c r="BI9" s="3">
        <v>0</v>
      </c>
      <c r="BJ9" s="3">
        <v>2</v>
      </c>
      <c r="BK9" s="3">
        <v>33.463999999999999</v>
      </c>
      <c r="BL9" s="3">
        <v>34.140999999999998</v>
      </c>
      <c r="BM9" s="3">
        <v>0.33800000000000002</v>
      </c>
      <c r="BN9" s="3">
        <v>5.7279999999999998</v>
      </c>
      <c r="BO9" s="3">
        <v>5.8440000000000003</v>
      </c>
      <c r="BP9" s="3">
        <v>5.8000000000000003E-2</v>
      </c>
      <c r="BQ9" s="3">
        <v>1096.508</v>
      </c>
      <c r="BR9" s="3">
        <v>1107.9960000000001</v>
      </c>
      <c r="BS9" s="3">
        <v>5.7439999999999998</v>
      </c>
      <c r="BT9" s="3">
        <v>5.6069000000000004</v>
      </c>
      <c r="BU9" s="3">
        <v>5.6657000000000002</v>
      </c>
      <c r="BV9" s="3">
        <v>2.9399999999999999E-2</v>
      </c>
      <c r="BW9" s="3">
        <v>0.377</v>
      </c>
      <c r="BX9" s="3">
        <v>0.60299999999999998</v>
      </c>
      <c r="BY9" s="3">
        <v>32.076999999999998</v>
      </c>
      <c r="BZ9" s="3">
        <v>32.164000000000001</v>
      </c>
    </row>
    <row r="10" spans="1:78" x14ac:dyDescent="0.35">
      <c r="A10" s="3" t="s">
        <v>129</v>
      </c>
      <c r="D10" s="3">
        <v>4.2859999999999996</v>
      </c>
      <c r="E10" s="3">
        <v>5.2640000000000002</v>
      </c>
      <c r="H10" s="3">
        <v>309.63</v>
      </c>
      <c r="I10" s="3">
        <v>35.36</v>
      </c>
      <c r="K10" s="3">
        <v>20.478000000000002</v>
      </c>
      <c r="M10" s="3">
        <v>45.628</v>
      </c>
      <c r="O10" s="3">
        <v>1.7641</v>
      </c>
      <c r="P10" s="3" t="s">
        <v>214</v>
      </c>
      <c r="Q10" s="3" t="s">
        <v>224</v>
      </c>
      <c r="R10" s="3" t="s">
        <v>105</v>
      </c>
      <c r="S10" s="3">
        <v>4</v>
      </c>
      <c r="T10" s="3">
        <v>24</v>
      </c>
      <c r="U10" s="3">
        <v>64</v>
      </c>
      <c r="V10" s="3">
        <v>374</v>
      </c>
      <c r="W10" s="3">
        <v>132</v>
      </c>
      <c r="X10" s="4">
        <v>195563520</v>
      </c>
      <c r="Y10" s="4">
        <v>195563520</v>
      </c>
      <c r="Z10" s="3">
        <v>0</v>
      </c>
      <c r="AA10" s="3" t="s">
        <v>225</v>
      </c>
      <c r="AB10" s="3">
        <v>98.95</v>
      </c>
      <c r="AC10" s="3">
        <v>4241.1000000000004</v>
      </c>
      <c r="AD10" s="3">
        <v>4286.1000000000004</v>
      </c>
      <c r="AE10" s="3">
        <v>9473.2000000000007</v>
      </c>
      <c r="AF10" s="3">
        <v>9550.15</v>
      </c>
      <c r="AG10" s="3">
        <v>5264.1</v>
      </c>
      <c r="AH10" s="3">
        <v>55.12</v>
      </c>
      <c r="AI10" s="3">
        <v>20.478000000000002</v>
      </c>
      <c r="AJ10" s="3">
        <v>45.628</v>
      </c>
      <c r="AK10" s="3">
        <v>36.124499999999998</v>
      </c>
      <c r="AL10" s="3">
        <v>32.421500000000002</v>
      </c>
      <c r="AM10" s="3">
        <v>3.7029999999999998</v>
      </c>
      <c r="AN10" s="3">
        <v>344.99</v>
      </c>
      <c r="AO10" s="3">
        <v>309.63</v>
      </c>
      <c r="AP10" s="3">
        <v>35.36</v>
      </c>
      <c r="AQ10" s="3">
        <v>1.7641</v>
      </c>
      <c r="AR10" s="3">
        <v>40.344999999999999</v>
      </c>
      <c r="AS10" s="3">
        <v>0.88419999999999999</v>
      </c>
      <c r="AT10" s="3">
        <v>0.96094999999999997</v>
      </c>
      <c r="AU10" s="3">
        <v>0.98280000000000001</v>
      </c>
      <c r="AV10" s="3">
        <v>3</v>
      </c>
      <c r="AW10" s="4">
        <v>12567</v>
      </c>
      <c r="AX10" s="3">
        <v>120.02</v>
      </c>
      <c r="AY10" s="3" t="s">
        <v>301</v>
      </c>
      <c r="AZ10" s="3" t="s">
        <v>293</v>
      </c>
      <c r="BA10" s="3">
        <v>9916.9</v>
      </c>
      <c r="BB10" s="3">
        <v>10121.299999999999</v>
      </c>
      <c r="BC10" s="3">
        <v>3.94</v>
      </c>
      <c r="BD10" s="3" t="s">
        <v>107</v>
      </c>
      <c r="BE10" s="3" t="s">
        <v>256</v>
      </c>
      <c r="BF10" s="3">
        <v>2.74</v>
      </c>
      <c r="BG10" s="3">
        <v>3.47</v>
      </c>
      <c r="BH10" s="3">
        <v>4.13</v>
      </c>
      <c r="BI10" s="3">
        <v>0</v>
      </c>
      <c r="BJ10" s="3">
        <v>2</v>
      </c>
      <c r="BK10" s="3">
        <v>9.5250000000000004</v>
      </c>
      <c r="BL10" s="3">
        <v>9.5749999999999993</v>
      </c>
      <c r="BM10" s="3">
        <v>2.5000000000000001E-2</v>
      </c>
      <c r="BN10" s="3">
        <v>20.423999999999999</v>
      </c>
      <c r="BO10" s="3">
        <v>20.532</v>
      </c>
      <c r="BP10" s="3">
        <v>5.3999999999999999E-2</v>
      </c>
      <c r="BQ10" s="3">
        <v>344.48700000000002</v>
      </c>
      <c r="BR10" s="3">
        <v>345.5</v>
      </c>
      <c r="BS10" s="3">
        <v>0.50600000000000001</v>
      </c>
      <c r="BT10" s="3">
        <v>1.7615000000000001</v>
      </c>
      <c r="BU10" s="3">
        <v>1.7666999999999999</v>
      </c>
      <c r="BV10" s="3">
        <v>2.5999999999999999E-3</v>
      </c>
      <c r="BW10" s="3">
        <v>3.6629999999999998</v>
      </c>
      <c r="BX10" s="3">
        <v>3.7429999999999999</v>
      </c>
      <c r="BY10" s="3">
        <v>32.418999999999997</v>
      </c>
      <c r="BZ10" s="3">
        <v>32.423999999999999</v>
      </c>
    </row>
    <row r="11" spans="1:78" x14ac:dyDescent="0.35">
      <c r="A11" s="3" t="s">
        <v>133</v>
      </c>
      <c r="D11" s="3">
        <v>3.1190000000000002</v>
      </c>
      <c r="E11" s="3">
        <v>14.113</v>
      </c>
      <c r="H11" s="3">
        <v>577.66999999999996</v>
      </c>
      <c r="I11" s="3">
        <v>20.9</v>
      </c>
      <c r="K11" s="3">
        <v>11.349</v>
      </c>
      <c r="M11" s="3">
        <v>62.697000000000003</v>
      </c>
      <c r="O11" s="3">
        <v>3.0608</v>
      </c>
      <c r="P11" s="3" t="s">
        <v>214</v>
      </c>
      <c r="Q11" s="3" t="s">
        <v>226</v>
      </c>
      <c r="R11" s="3" t="s">
        <v>115</v>
      </c>
      <c r="S11" s="3">
        <v>2</v>
      </c>
      <c r="T11" s="3">
        <v>26</v>
      </c>
      <c r="U11" s="3">
        <v>96</v>
      </c>
      <c r="V11" s="3">
        <v>341</v>
      </c>
      <c r="W11" s="3">
        <v>132</v>
      </c>
      <c r="X11" s="4">
        <v>195563520</v>
      </c>
      <c r="Y11" s="4">
        <v>197061120</v>
      </c>
      <c r="Z11" s="3">
        <v>0.76</v>
      </c>
      <c r="AA11" s="3" t="s">
        <v>222</v>
      </c>
      <c r="AB11" s="3">
        <v>98.73</v>
      </c>
      <c r="AC11" s="3">
        <v>3079.6</v>
      </c>
      <c r="AD11" s="3">
        <v>3119.2</v>
      </c>
      <c r="AE11" s="3">
        <v>16180.4</v>
      </c>
      <c r="AF11" s="3">
        <v>17232.45</v>
      </c>
      <c r="AG11" s="3">
        <v>14113.3</v>
      </c>
      <c r="AH11" s="3">
        <v>81.900000000000006</v>
      </c>
      <c r="AI11" s="3">
        <v>11.349</v>
      </c>
      <c r="AJ11" s="3">
        <v>62.697000000000003</v>
      </c>
      <c r="AK11" s="3">
        <v>34.735500000000002</v>
      </c>
      <c r="AL11" s="3">
        <v>33.522500000000001</v>
      </c>
      <c r="AM11" s="3">
        <v>1.2130000000000001</v>
      </c>
      <c r="AN11" s="3">
        <v>598.58000000000004</v>
      </c>
      <c r="AO11" s="3">
        <v>577.66999999999996</v>
      </c>
      <c r="AP11" s="3">
        <v>20.9</v>
      </c>
      <c r="AQ11" s="3">
        <v>3.0608</v>
      </c>
      <c r="AR11" s="3">
        <v>42.468000000000004</v>
      </c>
      <c r="AS11" s="3">
        <v>0.6774</v>
      </c>
      <c r="AT11" s="3">
        <v>0.99075000000000002</v>
      </c>
      <c r="AU11" s="3">
        <v>0.99690000000000001</v>
      </c>
      <c r="AV11" s="3">
        <v>3</v>
      </c>
      <c r="AW11" s="4">
        <v>6965</v>
      </c>
      <c r="AX11" s="3">
        <v>120.03</v>
      </c>
      <c r="AY11" s="3" t="s">
        <v>302</v>
      </c>
      <c r="AZ11" s="3" t="s">
        <v>293</v>
      </c>
      <c r="BA11" s="3">
        <v>17815.900000000001</v>
      </c>
      <c r="BB11" s="3">
        <v>18121.900000000001</v>
      </c>
      <c r="BC11" s="3">
        <v>4.1900000000000004</v>
      </c>
      <c r="BD11" s="3" t="s">
        <v>107</v>
      </c>
      <c r="BE11" s="3" t="s">
        <v>256</v>
      </c>
      <c r="BF11" s="3">
        <v>3.29</v>
      </c>
      <c r="BG11" s="3">
        <v>3.47</v>
      </c>
      <c r="BH11" s="3">
        <v>4.6100000000000003</v>
      </c>
      <c r="BI11" s="3">
        <v>0</v>
      </c>
      <c r="BJ11" s="3">
        <v>2</v>
      </c>
      <c r="BK11" s="3">
        <v>17.228999999999999</v>
      </c>
      <c r="BL11" s="3">
        <v>17.236000000000001</v>
      </c>
      <c r="BM11" s="3">
        <v>4.0000000000000001E-3</v>
      </c>
      <c r="BN11" s="3">
        <v>11.346</v>
      </c>
      <c r="BO11" s="3">
        <v>11.351000000000001</v>
      </c>
      <c r="BP11" s="3">
        <v>2E-3</v>
      </c>
      <c r="BQ11" s="3">
        <v>596.49599999999998</v>
      </c>
      <c r="BR11" s="3">
        <v>600.66099999999994</v>
      </c>
      <c r="BS11" s="3">
        <v>2.0830000000000002</v>
      </c>
      <c r="BT11" s="3">
        <v>3.0501</v>
      </c>
      <c r="BU11" s="3">
        <v>3.0714000000000001</v>
      </c>
      <c r="BV11" s="3">
        <v>1.06E-2</v>
      </c>
      <c r="BW11" s="3">
        <v>1.1879999999999999</v>
      </c>
      <c r="BX11" s="3">
        <v>1.238</v>
      </c>
      <c r="BY11" s="3">
        <v>33.433999999999997</v>
      </c>
      <c r="BZ11" s="3">
        <v>33.610999999999997</v>
      </c>
    </row>
    <row r="12" spans="1:78" x14ac:dyDescent="0.35">
      <c r="A12" s="3" t="s">
        <v>143</v>
      </c>
      <c r="D12" s="3">
        <v>3.9089999999999998</v>
      </c>
      <c r="E12" s="3">
        <v>5.0960000000000001</v>
      </c>
      <c r="H12" s="3">
        <v>300.19</v>
      </c>
      <c r="I12" s="3">
        <v>32.729999999999997</v>
      </c>
      <c r="K12" s="3">
        <v>21.716999999999999</v>
      </c>
      <c r="M12" s="3">
        <v>50.029000000000003</v>
      </c>
      <c r="O12" s="3">
        <v>1.7023999999999999</v>
      </c>
      <c r="P12" s="3" t="s">
        <v>214</v>
      </c>
      <c r="Q12" s="3" t="s">
        <v>227</v>
      </c>
      <c r="R12" s="3" t="s">
        <v>105</v>
      </c>
      <c r="S12" s="3">
        <v>5</v>
      </c>
      <c r="T12" s="3">
        <v>30</v>
      </c>
      <c r="U12" s="3">
        <v>80</v>
      </c>
      <c r="V12" s="3">
        <v>329</v>
      </c>
      <c r="W12" s="3">
        <v>132</v>
      </c>
      <c r="X12" s="4">
        <v>195563520</v>
      </c>
      <c r="Y12" s="4">
        <v>195563520</v>
      </c>
      <c r="Z12" s="3">
        <v>0</v>
      </c>
      <c r="AA12" s="3" t="s">
        <v>228</v>
      </c>
      <c r="AB12" s="3">
        <v>98.25</v>
      </c>
      <c r="AC12" s="3">
        <v>3840.6</v>
      </c>
      <c r="AD12" s="4">
        <v>3909</v>
      </c>
      <c r="AE12" s="3">
        <v>9030.9</v>
      </c>
      <c r="AF12" s="3">
        <v>9005.25</v>
      </c>
      <c r="AG12" s="3">
        <v>5096.2</v>
      </c>
      <c r="AH12" s="3">
        <v>56.59</v>
      </c>
      <c r="AI12" s="3">
        <v>21.716999999999999</v>
      </c>
      <c r="AJ12" s="3">
        <v>50.029000000000003</v>
      </c>
      <c r="AK12" s="3">
        <v>36.970500000000001</v>
      </c>
      <c r="AL12" s="3">
        <v>33.335500000000003</v>
      </c>
      <c r="AM12" s="3">
        <v>3.6349999999999998</v>
      </c>
      <c r="AN12" s="3">
        <v>332.93</v>
      </c>
      <c r="AO12" s="3">
        <v>300.19</v>
      </c>
      <c r="AP12" s="3">
        <v>32.729999999999997</v>
      </c>
      <c r="AQ12" s="3">
        <v>1.7023999999999999</v>
      </c>
      <c r="AR12" s="3">
        <v>42.186999999999998</v>
      </c>
      <c r="AS12" s="3">
        <v>0.84330000000000005</v>
      </c>
      <c r="AT12" s="3">
        <v>0.98170000000000002</v>
      </c>
      <c r="AU12" s="3">
        <v>0.97199999999999998</v>
      </c>
      <c r="AV12" s="3">
        <v>3</v>
      </c>
      <c r="AW12" s="4">
        <v>13327</v>
      </c>
      <c r="AX12" s="3">
        <v>120.01</v>
      </c>
      <c r="AY12" s="3" t="s">
        <v>303</v>
      </c>
      <c r="AZ12" s="3" t="s">
        <v>293</v>
      </c>
      <c r="BA12" s="3">
        <v>9375.7999999999993</v>
      </c>
      <c r="BB12" s="3">
        <v>9684.2000000000007</v>
      </c>
      <c r="BC12" s="3">
        <v>6.78</v>
      </c>
      <c r="BD12" s="3" t="s">
        <v>107</v>
      </c>
      <c r="BE12" s="3" t="s">
        <v>256</v>
      </c>
      <c r="BF12" s="3">
        <v>3.17</v>
      </c>
      <c r="BG12" s="3">
        <v>3.4</v>
      </c>
      <c r="BH12" s="3">
        <v>4.08</v>
      </c>
      <c r="BI12" s="3">
        <v>0</v>
      </c>
      <c r="BJ12" s="3">
        <v>2</v>
      </c>
      <c r="BK12" s="3">
        <v>8.9979999999999993</v>
      </c>
      <c r="BL12" s="3">
        <v>9.0120000000000005</v>
      </c>
      <c r="BM12" s="3">
        <v>7.0000000000000001E-3</v>
      </c>
      <c r="BN12" s="3">
        <v>21.7</v>
      </c>
      <c r="BO12" s="3">
        <v>21.734000000000002</v>
      </c>
      <c r="BP12" s="3">
        <v>1.7000000000000001E-2</v>
      </c>
      <c r="BQ12" s="3">
        <v>332.77</v>
      </c>
      <c r="BR12" s="3">
        <v>333.08600000000001</v>
      </c>
      <c r="BS12" s="3">
        <v>0.158</v>
      </c>
      <c r="BT12" s="3">
        <v>1.7016</v>
      </c>
      <c r="BU12" s="3">
        <v>1.7032</v>
      </c>
      <c r="BV12" s="3">
        <v>8.0000000000000004E-4</v>
      </c>
      <c r="BW12" s="3">
        <v>3.5619999999999998</v>
      </c>
      <c r="BX12" s="3">
        <v>3.7080000000000002</v>
      </c>
      <c r="BY12" s="3">
        <v>33.308999999999997</v>
      </c>
      <c r="BZ12" s="3">
        <v>33.362000000000002</v>
      </c>
    </row>
    <row r="13" spans="1:78" x14ac:dyDescent="0.35">
      <c r="A13" s="3" t="s">
        <v>137</v>
      </c>
      <c r="D13" s="3">
        <v>2.9380000000000002</v>
      </c>
      <c r="E13" s="3">
        <v>10.489000000000001</v>
      </c>
      <c r="H13" s="3">
        <v>458.69</v>
      </c>
      <c r="I13" s="3">
        <v>29.59</v>
      </c>
      <c r="K13" s="3">
        <v>14.565</v>
      </c>
      <c r="M13" s="3">
        <v>66.566000000000003</v>
      </c>
      <c r="O13" s="3">
        <v>2.4967999999999999</v>
      </c>
      <c r="P13" s="3" t="s">
        <v>214</v>
      </c>
      <c r="Q13" s="3" t="s">
        <v>229</v>
      </c>
      <c r="R13" s="3" t="s">
        <v>109</v>
      </c>
      <c r="S13" s="3">
        <v>3</v>
      </c>
      <c r="T13" s="3">
        <v>30</v>
      </c>
      <c r="U13" s="3">
        <v>96</v>
      </c>
      <c r="V13" s="3">
        <v>354</v>
      </c>
      <c r="W13" s="3">
        <v>132</v>
      </c>
      <c r="X13" s="4">
        <v>195563520</v>
      </c>
      <c r="Y13" s="4">
        <v>195563520</v>
      </c>
      <c r="Z13" s="3">
        <v>0</v>
      </c>
      <c r="AA13" s="3" t="s">
        <v>220</v>
      </c>
      <c r="AB13" s="3">
        <v>98.27</v>
      </c>
      <c r="AC13" s="3">
        <v>2887.1</v>
      </c>
      <c r="AD13" s="3">
        <v>2937.9</v>
      </c>
      <c r="AE13" s="4">
        <v>13038</v>
      </c>
      <c r="AF13" s="3">
        <v>13426.85</v>
      </c>
      <c r="AG13" s="4">
        <v>10489</v>
      </c>
      <c r="AH13" s="3">
        <v>78.12</v>
      </c>
      <c r="AI13" s="3">
        <v>14.565</v>
      </c>
      <c r="AJ13" s="3">
        <v>66.566000000000003</v>
      </c>
      <c r="AK13" s="3">
        <v>36.366</v>
      </c>
      <c r="AL13" s="3">
        <v>34.162500000000001</v>
      </c>
      <c r="AM13" s="3">
        <v>2.2029999999999998</v>
      </c>
      <c r="AN13" s="3">
        <v>488.28</v>
      </c>
      <c r="AO13" s="3">
        <v>458.69</v>
      </c>
      <c r="AP13" s="3">
        <v>29.59</v>
      </c>
      <c r="AQ13" s="3">
        <v>2.4967999999999999</v>
      </c>
      <c r="AR13" s="3">
        <v>43.515999999999998</v>
      </c>
      <c r="AS13" s="3">
        <v>0.65369999999999995</v>
      </c>
      <c r="AT13" s="3">
        <v>0.99080000000000001</v>
      </c>
      <c r="AU13" s="3">
        <v>1</v>
      </c>
      <c r="AV13" s="3">
        <v>3</v>
      </c>
      <c r="AW13" s="4">
        <v>8938</v>
      </c>
      <c r="AX13" s="3">
        <v>120.01</v>
      </c>
      <c r="AY13" s="3" t="s">
        <v>304</v>
      </c>
      <c r="AZ13" s="3" t="s">
        <v>293</v>
      </c>
      <c r="BA13" s="3">
        <v>13951.5</v>
      </c>
      <c r="BB13" s="3">
        <v>14326.6</v>
      </c>
      <c r="BC13" s="3">
        <v>5.62</v>
      </c>
      <c r="BD13" s="3" t="s">
        <v>107</v>
      </c>
      <c r="BE13" s="3" t="s">
        <v>256</v>
      </c>
      <c r="BF13" s="3">
        <v>2.75</v>
      </c>
      <c r="BG13" s="3">
        <v>3.41</v>
      </c>
      <c r="BH13" s="3">
        <v>4.59</v>
      </c>
      <c r="BI13" s="3">
        <v>0</v>
      </c>
      <c r="BJ13" s="3">
        <v>2</v>
      </c>
      <c r="BK13" s="3">
        <v>13.422000000000001</v>
      </c>
      <c r="BL13" s="3">
        <v>13.432</v>
      </c>
      <c r="BM13" s="3">
        <v>5.0000000000000001E-3</v>
      </c>
      <c r="BN13" s="3">
        <v>14.558999999999999</v>
      </c>
      <c r="BO13" s="3">
        <v>14.571</v>
      </c>
      <c r="BP13" s="3">
        <v>6.0000000000000001E-3</v>
      </c>
      <c r="BQ13" s="3">
        <v>483.60899999999998</v>
      </c>
      <c r="BR13" s="3">
        <v>492.94900000000001</v>
      </c>
      <c r="BS13" s="3">
        <v>4.67</v>
      </c>
      <c r="BT13" s="3">
        <v>2.4729000000000001</v>
      </c>
      <c r="BU13" s="3">
        <v>2.5207000000000002</v>
      </c>
      <c r="BV13" s="3">
        <v>2.3900000000000001E-2</v>
      </c>
      <c r="BW13" s="3">
        <v>1.88</v>
      </c>
      <c r="BX13" s="3">
        <v>2.5270000000000001</v>
      </c>
      <c r="BY13" s="3">
        <v>34.124000000000002</v>
      </c>
      <c r="BZ13" s="3">
        <v>34.201000000000001</v>
      </c>
    </row>
    <row r="14" spans="1:78" x14ac:dyDescent="0.35">
      <c r="A14" s="3" t="s">
        <v>149</v>
      </c>
      <c r="B14" s="3">
        <v>3.0840000000000001</v>
      </c>
      <c r="C14" s="3">
        <v>39.880000000000003</v>
      </c>
      <c r="F14" s="3">
        <v>1424.27</v>
      </c>
      <c r="G14" s="3">
        <v>38.56</v>
      </c>
      <c r="J14" s="3">
        <v>4.5519999999999996</v>
      </c>
      <c r="L14" s="3">
        <v>63.42</v>
      </c>
      <c r="N14" s="3">
        <v>7.4801000000000002</v>
      </c>
      <c r="P14" s="3" t="s">
        <v>104</v>
      </c>
      <c r="Q14" s="3" t="s">
        <v>230</v>
      </c>
      <c r="R14" s="3" t="s">
        <v>150</v>
      </c>
      <c r="S14" s="3">
        <v>1</v>
      </c>
      <c r="T14" s="3">
        <v>32</v>
      </c>
      <c r="U14" s="3">
        <v>128</v>
      </c>
      <c r="V14" s="3">
        <v>250</v>
      </c>
      <c r="W14" s="3">
        <v>132</v>
      </c>
      <c r="X14" s="4">
        <v>195563520</v>
      </c>
      <c r="Y14" s="4">
        <v>195563520</v>
      </c>
      <c r="Z14" s="3">
        <v>0</v>
      </c>
      <c r="AA14" s="3" t="s">
        <v>212</v>
      </c>
      <c r="AB14" s="3">
        <v>99.43</v>
      </c>
      <c r="AC14" s="4">
        <v>3066</v>
      </c>
      <c r="AD14" s="3">
        <v>3083.6</v>
      </c>
      <c r="AE14" s="3">
        <v>34623.300000000003</v>
      </c>
      <c r="AF14" s="3">
        <v>42963.75</v>
      </c>
      <c r="AG14" s="3">
        <v>39880.1</v>
      </c>
      <c r="AH14" s="3">
        <v>92.82</v>
      </c>
      <c r="AI14" s="3">
        <v>4.5519999999999996</v>
      </c>
      <c r="AJ14" s="3">
        <v>63.42</v>
      </c>
      <c r="AK14" s="3">
        <v>34.048000000000002</v>
      </c>
      <c r="AL14" s="3">
        <v>33.150500000000001</v>
      </c>
      <c r="AM14" s="3">
        <v>0.89800000000000002</v>
      </c>
      <c r="AN14" s="3">
        <v>1462.83</v>
      </c>
      <c r="AO14" s="3">
        <v>1424.27</v>
      </c>
      <c r="AP14" s="3">
        <v>38.56</v>
      </c>
      <c r="AQ14" s="3">
        <v>7.4801000000000002</v>
      </c>
      <c r="AR14" s="3">
        <v>42.271000000000001</v>
      </c>
      <c r="AS14" s="3">
        <v>0.66649999999999998</v>
      </c>
      <c r="AT14" s="3">
        <v>1</v>
      </c>
      <c r="AU14" s="3">
        <v>1</v>
      </c>
      <c r="AV14" s="3">
        <v>3</v>
      </c>
      <c r="AW14" s="4">
        <v>2796</v>
      </c>
      <c r="AX14" s="3">
        <v>120.08</v>
      </c>
      <c r="AY14" s="3" t="s">
        <v>305</v>
      </c>
      <c r="AZ14" s="3" t="s">
        <v>293</v>
      </c>
      <c r="BA14" s="3">
        <v>44576.2</v>
      </c>
      <c r="BB14" s="3">
        <v>45211.199999999997</v>
      </c>
      <c r="BC14" s="3">
        <v>8.2200000000000006</v>
      </c>
      <c r="BD14" s="3" t="s">
        <v>107</v>
      </c>
      <c r="BE14" s="3" t="s">
        <v>256</v>
      </c>
      <c r="BF14" s="3">
        <v>2.52</v>
      </c>
      <c r="BG14" s="3">
        <v>3.08</v>
      </c>
      <c r="BH14" s="3">
        <v>3.7</v>
      </c>
      <c r="BI14" s="3">
        <v>0</v>
      </c>
      <c r="BJ14" s="3">
        <v>2</v>
      </c>
      <c r="BK14" s="3">
        <v>42.073</v>
      </c>
      <c r="BL14" s="3">
        <v>43.854999999999997</v>
      </c>
      <c r="BM14" s="3">
        <v>0.89100000000000001</v>
      </c>
      <c r="BN14" s="3">
        <v>4.4589999999999996</v>
      </c>
      <c r="BO14" s="3">
        <v>4.6479999999999997</v>
      </c>
      <c r="BP14" s="3">
        <v>9.4E-2</v>
      </c>
      <c r="BQ14" s="3">
        <v>1422.2739999999999</v>
      </c>
      <c r="BR14" s="3">
        <v>1503.818</v>
      </c>
      <c r="BS14" s="3">
        <v>40.771999999999998</v>
      </c>
      <c r="BT14" s="3">
        <v>7.2727000000000004</v>
      </c>
      <c r="BU14" s="3">
        <v>7.6897000000000002</v>
      </c>
      <c r="BV14" s="3">
        <v>0.20849999999999999</v>
      </c>
      <c r="BW14" s="3">
        <v>0.63</v>
      </c>
      <c r="BX14" s="3">
        <v>1.165</v>
      </c>
      <c r="BY14" s="3">
        <v>33.125999999999998</v>
      </c>
      <c r="BZ14" s="3">
        <v>33.174999999999997</v>
      </c>
    </row>
  </sheetData>
  <autoFilter ref="A1:BI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6"/>
  <sheetViews>
    <sheetView workbookViewId="0">
      <selection activeCell="A21" sqref="A21"/>
    </sheetView>
  </sheetViews>
  <sheetFormatPr defaultRowHeight="14.5" x14ac:dyDescent="0.35"/>
  <cols>
    <col min="1" max="1" width="140" customWidth="1"/>
  </cols>
  <sheetData>
    <row r="1" spans="1:1" ht="15.5" x14ac:dyDescent="0.35">
      <c r="A1" s="8" t="s">
        <v>306</v>
      </c>
    </row>
    <row r="2" spans="1:1" ht="43.5" x14ac:dyDescent="0.35">
      <c r="A2" s="9" t="s">
        <v>307</v>
      </c>
    </row>
    <row r="3" spans="1:1" ht="29" x14ac:dyDescent="0.35">
      <c r="A3" s="9" t="s">
        <v>308</v>
      </c>
    </row>
    <row r="4" spans="1:1" x14ac:dyDescent="0.35">
      <c r="A4" s="9" t="s">
        <v>231</v>
      </c>
    </row>
    <row r="5" spans="1:1" x14ac:dyDescent="0.35">
      <c r="A5" s="9" t="s">
        <v>232</v>
      </c>
    </row>
    <row r="6" spans="1:1" ht="29" x14ac:dyDescent="0.35">
      <c r="A6" s="9" t="s">
        <v>309</v>
      </c>
    </row>
    <row r="7" spans="1:1" ht="29" x14ac:dyDescent="0.35">
      <c r="A7" s="9" t="s">
        <v>310</v>
      </c>
    </row>
    <row r="8" spans="1:1" ht="29" x14ac:dyDescent="0.35">
      <c r="A8" s="9" t="s">
        <v>311</v>
      </c>
    </row>
    <row r="9" spans="1:1" ht="29" x14ac:dyDescent="0.35">
      <c r="A9" s="9" t="s">
        <v>233</v>
      </c>
    </row>
    <row r="10" spans="1:1" ht="29" x14ac:dyDescent="0.35">
      <c r="A10" s="9" t="s">
        <v>234</v>
      </c>
    </row>
    <row r="11" spans="1:1" ht="29" x14ac:dyDescent="0.35">
      <c r="A11" s="9" t="s">
        <v>235</v>
      </c>
    </row>
    <row r="12" spans="1:1" ht="29" x14ac:dyDescent="0.35">
      <c r="A12" s="9" t="s">
        <v>236</v>
      </c>
    </row>
    <row r="13" spans="1:1" x14ac:dyDescent="0.35">
      <c r="A13" s="9" t="s">
        <v>312</v>
      </c>
    </row>
    <row r="14" spans="1:1" x14ac:dyDescent="0.35">
      <c r="A14" s="9" t="s">
        <v>237</v>
      </c>
    </row>
    <row r="15" spans="1:1" ht="29" x14ac:dyDescent="0.35">
      <c r="A15" s="9" t="s">
        <v>313</v>
      </c>
    </row>
    <row r="16" spans="1:1" ht="29" x14ac:dyDescent="0.35">
      <c r="A16" s="9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Qwen Charts</vt:lpstr>
      <vt:lpstr>UC1 Charts</vt:lpstr>
      <vt:lpstr>Qwen XRT</vt:lpstr>
      <vt:lpstr>Qwen Twins</vt:lpstr>
      <vt:lpstr>Qwen Scaling</vt:lpstr>
      <vt:lpstr>Qwen Accuracy</vt:lpstr>
      <vt:lpstr>UC1 XRT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Σωζος Κουλας</cp:lastModifiedBy>
  <dcterms:created xsi:type="dcterms:W3CDTF">2026-10-01T13:15:31Z</dcterms:created>
  <dcterms:modified xsi:type="dcterms:W3CDTF">2026-10-02T18:02:55Z</dcterms:modified>
</cp:coreProperties>
</file>