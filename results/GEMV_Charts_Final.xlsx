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Koulas\ECE\Thesis\Code\"/>
    </mc:Choice>
  </mc:AlternateContent>
  <xr:revisionPtr revIDLastSave="0" documentId="13_ncr:1_{552CE729-4AAB-45E4-928D-C788FA8FB21D}" xr6:coauthVersionLast="47" xr6:coauthVersionMax="47" xr10:uidLastSave="{00000000-0000-0000-0000-000000000000}"/>
  <bookViews>
    <workbookView xWindow="-110" yWindow="-110" windowWidth="25820" windowHeight="15500" firstSheet="1" activeTab="6" xr2:uid="{00000000-000D-0000-FFFF-FFFF00000000}"/>
  </bookViews>
  <sheets>
    <sheet name="avg3 comparison" sheetId="1" r:id="rId1"/>
    <sheet name="Shapes" sheetId="2" r:id="rId2"/>
    <sheet name="Master" sheetId="3" r:id="rId3"/>
    <sheet name="Mixed sparsity" sheetId="4" r:id="rId4"/>
    <sheet name="Floorplan SLR" sheetId="5" r:id="rId5"/>
    <sheet name="Chart Data" sheetId="6" r:id="rId6"/>
    <sheet name="Charts" sheetId="7" r:id="rId7"/>
  </sheets>
  <definedNames>
    <definedName name="_xlnm._FilterDatabase" localSheetId="0" hidden="1">'avg3 comparison'!$A$1:$AH$13</definedName>
    <definedName name="_xlnm._FilterDatabase" localSheetId="4" hidden="1">'Floorplan SLR'!$A$1:$H$16</definedName>
    <definedName name="_xlnm._FilterDatabase" localSheetId="2" hidden="1">Master!$A$1:$AF$21</definedName>
    <definedName name="_xlnm._FilterDatabase" localSheetId="3" hidden="1">'Mixed sparsity'!$A$1:$U$10</definedName>
    <definedName name="_xlnm._FilterDatabase" localSheetId="1" hidden="1">Shapes!$A$1:$W$61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2" i="6" l="1"/>
  <c r="BP12" i="6"/>
  <c r="BO12" i="6"/>
  <c r="BN12" i="6"/>
  <c r="BM12" i="6"/>
  <c r="BL12" i="6"/>
  <c r="BK12" i="6"/>
  <c r="BQ11" i="6"/>
  <c r="BP11" i="6"/>
  <c r="BO11" i="6"/>
  <c r="BN11" i="6"/>
  <c r="BM11" i="6"/>
  <c r="BL11" i="6"/>
  <c r="BK11" i="6"/>
  <c r="BQ10" i="6"/>
  <c r="BP10" i="6"/>
  <c r="BO10" i="6"/>
  <c r="BN10" i="6"/>
  <c r="BM10" i="6"/>
  <c r="BL10" i="6"/>
  <c r="BK10" i="6"/>
  <c r="BQ9" i="6"/>
  <c r="BP9" i="6"/>
  <c r="BO9" i="6"/>
  <c r="BN9" i="6"/>
  <c r="BM9" i="6"/>
  <c r="BL9" i="6"/>
  <c r="BK9" i="6"/>
  <c r="BQ8" i="6"/>
  <c r="BP8" i="6"/>
  <c r="BO8" i="6"/>
  <c r="BN8" i="6"/>
  <c r="BM8" i="6"/>
  <c r="BL8" i="6"/>
  <c r="BK8" i="6"/>
  <c r="BQ7" i="6"/>
  <c r="BP7" i="6"/>
  <c r="BO7" i="6"/>
  <c r="BN7" i="6"/>
  <c r="BM7" i="6"/>
  <c r="BL7" i="6"/>
  <c r="BK7" i="6"/>
  <c r="BQ6" i="6"/>
  <c r="BP6" i="6"/>
  <c r="BO6" i="6"/>
  <c r="BN6" i="6"/>
  <c r="BM6" i="6"/>
  <c r="BL6" i="6"/>
  <c r="BK6" i="6"/>
  <c r="BQ5" i="6"/>
  <c r="BP5" i="6"/>
  <c r="BO5" i="6"/>
  <c r="BN5" i="6"/>
  <c r="BM5" i="6"/>
  <c r="BL5" i="6"/>
  <c r="BK5" i="6"/>
  <c r="BQ4" i="6"/>
  <c r="BP4" i="6"/>
  <c r="BO4" i="6"/>
  <c r="BN4" i="6"/>
  <c r="BM4" i="6"/>
  <c r="BL4" i="6"/>
  <c r="BK4" i="6"/>
  <c r="BQ3" i="6"/>
  <c r="BP3" i="6"/>
  <c r="BO3" i="6"/>
  <c r="BN3" i="6"/>
  <c r="BM3" i="6"/>
  <c r="BL3" i="6"/>
  <c r="BK3" i="6"/>
  <c r="BQ2" i="6"/>
  <c r="BP2" i="6"/>
  <c r="BO2" i="6"/>
  <c r="BN2" i="6"/>
  <c r="BM2" i="6"/>
  <c r="BL2" i="6"/>
  <c r="BK2" i="6"/>
  <c r="BI12" i="6"/>
  <c r="BG12" i="6"/>
  <c r="BF12" i="6"/>
  <c r="BI11" i="6"/>
  <c r="BG11" i="6"/>
  <c r="BF11" i="6"/>
  <c r="BE11" i="6"/>
  <c r="BD11" i="6"/>
  <c r="BI10" i="6"/>
  <c r="BF10" i="6"/>
  <c r="BE10" i="6"/>
  <c r="BD10" i="6"/>
  <c r="BI9" i="6"/>
  <c r="BG9" i="6"/>
  <c r="BI8" i="6"/>
  <c r="BF8" i="6"/>
  <c r="BC8" i="6"/>
  <c r="BI7" i="6"/>
  <c r="BI6" i="6"/>
  <c r="BI5" i="6"/>
  <c r="BG5" i="6"/>
  <c r="BI4" i="6"/>
  <c r="BG4" i="6"/>
  <c r="BF4" i="6"/>
  <c r="BE4" i="6"/>
  <c r="BC4" i="6"/>
  <c r="BI3" i="6"/>
  <c r="BG3" i="6"/>
  <c r="BF3" i="6"/>
  <c r="BE3" i="6"/>
  <c r="BI2" i="6"/>
  <c r="BF2" i="6"/>
  <c r="BE2" i="6"/>
  <c r="BD2" i="6"/>
  <c r="BC2" i="6"/>
  <c r="AY12" i="6"/>
  <c r="AX12" i="6"/>
  <c r="AW12" i="6"/>
  <c r="AV12" i="6"/>
  <c r="AU12" i="6"/>
  <c r="AT12" i="6"/>
  <c r="AS12" i="6"/>
  <c r="BH12" i="6" s="1"/>
  <c r="AR12" i="6"/>
  <c r="AQ12" i="6"/>
  <c r="AP12" i="6"/>
  <c r="BE12" i="6" s="1"/>
  <c r="AO12" i="6"/>
  <c r="BD12" i="6" s="1"/>
  <c r="AN12" i="6"/>
  <c r="BC12" i="6" s="1"/>
  <c r="AY11" i="6"/>
  <c r="AX11" i="6"/>
  <c r="AW11" i="6"/>
  <c r="AV11" i="6"/>
  <c r="AU11" i="6"/>
  <c r="AT11" i="6"/>
  <c r="AS11" i="6"/>
  <c r="BH11" i="6" s="1"/>
  <c r="AR11" i="6"/>
  <c r="AQ11" i="6"/>
  <c r="AP11" i="6"/>
  <c r="AO11" i="6"/>
  <c r="AN11" i="6"/>
  <c r="BC11" i="6" s="1"/>
  <c r="AY10" i="6"/>
  <c r="AX10" i="6"/>
  <c r="AW10" i="6"/>
  <c r="AV10" i="6"/>
  <c r="AU10" i="6"/>
  <c r="AT10" i="6"/>
  <c r="AS10" i="6"/>
  <c r="BH10" i="6" s="1"/>
  <c r="AR10" i="6"/>
  <c r="BG10" i="6" s="1"/>
  <c r="AQ10" i="6"/>
  <c r="AP10" i="6"/>
  <c r="AO10" i="6"/>
  <c r="AN10" i="6"/>
  <c r="BC10" i="6" s="1"/>
  <c r="AY9" i="6"/>
  <c r="AX9" i="6"/>
  <c r="AW9" i="6"/>
  <c r="AV9" i="6"/>
  <c r="AU9" i="6"/>
  <c r="AT9" i="6"/>
  <c r="AS9" i="6"/>
  <c r="BH9" i="6" s="1"/>
  <c r="AR9" i="6"/>
  <c r="AQ9" i="6"/>
  <c r="BF9" i="6" s="1"/>
  <c r="AP9" i="6"/>
  <c r="BE9" i="6" s="1"/>
  <c r="AO9" i="6"/>
  <c r="BD9" i="6" s="1"/>
  <c r="AN9" i="6"/>
  <c r="BC9" i="6" s="1"/>
  <c r="AY8" i="6"/>
  <c r="AX8" i="6"/>
  <c r="AW8" i="6"/>
  <c r="AV8" i="6"/>
  <c r="AU8" i="6"/>
  <c r="AT8" i="6"/>
  <c r="AS8" i="6"/>
  <c r="BH8" i="6" s="1"/>
  <c r="AR8" i="6"/>
  <c r="BG8" i="6" s="1"/>
  <c r="AQ8" i="6"/>
  <c r="AP8" i="6"/>
  <c r="BE8" i="6" s="1"/>
  <c r="AO8" i="6"/>
  <c r="BD8" i="6" s="1"/>
  <c r="AN8" i="6"/>
  <c r="AY7" i="6"/>
  <c r="AX7" i="6"/>
  <c r="AW7" i="6"/>
  <c r="AV7" i="6"/>
  <c r="AU7" i="6"/>
  <c r="AT7" i="6"/>
  <c r="AS7" i="6"/>
  <c r="BH7" i="6" s="1"/>
  <c r="AR7" i="6"/>
  <c r="BG7" i="6" s="1"/>
  <c r="AQ7" i="6"/>
  <c r="BF7" i="6" s="1"/>
  <c r="AP7" i="6"/>
  <c r="BE7" i="6" s="1"/>
  <c r="AO7" i="6"/>
  <c r="BD7" i="6" s="1"/>
  <c r="AN7" i="6"/>
  <c r="BC7" i="6" s="1"/>
  <c r="AY6" i="6"/>
  <c r="AX6" i="6"/>
  <c r="AW6" i="6"/>
  <c r="AV6" i="6"/>
  <c r="AU6" i="6"/>
  <c r="AT6" i="6"/>
  <c r="AS6" i="6"/>
  <c r="BH6" i="6" s="1"/>
  <c r="AR6" i="6"/>
  <c r="BG6" i="6" s="1"/>
  <c r="AQ6" i="6"/>
  <c r="BF6" i="6" s="1"/>
  <c r="AP6" i="6"/>
  <c r="BE6" i="6" s="1"/>
  <c r="AO6" i="6"/>
  <c r="BD6" i="6" s="1"/>
  <c r="AN6" i="6"/>
  <c r="BC6" i="6" s="1"/>
  <c r="AY5" i="6"/>
  <c r="AX5" i="6"/>
  <c r="AW5" i="6"/>
  <c r="AV5" i="6"/>
  <c r="AU5" i="6"/>
  <c r="AT5" i="6"/>
  <c r="AS5" i="6"/>
  <c r="BH5" i="6" s="1"/>
  <c r="AR5" i="6"/>
  <c r="AQ5" i="6"/>
  <c r="BF5" i="6" s="1"/>
  <c r="AP5" i="6"/>
  <c r="BE5" i="6" s="1"/>
  <c r="AO5" i="6"/>
  <c r="BD5" i="6" s="1"/>
  <c r="AN5" i="6"/>
  <c r="BC5" i="6" s="1"/>
  <c r="AY4" i="6"/>
  <c r="AX4" i="6"/>
  <c r="AW4" i="6"/>
  <c r="AV4" i="6"/>
  <c r="AU4" i="6"/>
  <c r="AT4" i="6"/>
  <c r="AS4" i="6"/>
  <c r="BH4" i="6" s="1"/>
  <c r="AR4" i="6"/>
  <c r="AQ4" i="6"/>
  <c r="AP4" i="6"/>
  <c r="AO4" i="6"/>
  <c r="BD4" i="6" s="1"/>
  <c r="AN4" i="6"/>
  <c r="AY3" i="6"/>
  <c r="AX3" i="6"/>
  <c r="AW3" i="6"/>
  <c r="AV3" i="6"/>
  <c r="AU3" i="6"/>
  <c r="AT3" i="6"/>
  <c r="AS3" i="6"/>
  <c r="BH3" i="6" s="1"/>
  <c r="AR3" i="6"/>
  <c r="AQ3" i="6"/>
  <c r="AP3" i="6"/>
  <c r="AO3" i="6"/>
  <c r="BD3" i="6" s="1"/>
  <c r="AN3" i="6"/>
  <c r="BC3" i="6" s="1"/>
  <c r="AY2" i="6"/>
  <c r="AX2" i="6"/>
  <c r="AW2" i="6"/>
  <c r="AV2" i="6"/>
  <c r="AU2" i="6"/>
  <c r="AT2" i="6"/>
  <c r="AS2" i="6"/>
  <c r="BH2" i="6" s="1"/>
  <c r="AR2" i="6"/>
  <c r="BG2" i="6" s="1"/>
  <c r="AQ2" i="6"/>
  <c r="AP2" i="6"/>
  <c r="AO2" i="6"/>
  <c r="AN2" i="6"/>
  <c r="BA2" i="6"/>
  <c r="AG5" i="6"/>
  <c r="AL3" i="6"/>
  <c r="AK2" i="6"/>
  <c r="AJ2" i="6"/>
  <c r="AI2" i="6"/>
  <c r="AH2" i="6"/>
  <c r="AG2" i="6"/>
  <c r="AD6" i="6"/>
  <c r="AC6" i="6"/>
  <c r="AD5" i="6"/>
  <c r="AC5" i="6"/>
  <c r="AD4" i="6"/>
  <c r="AC4" i="6"/>
  <c r="AD3" i="6"/>
  <c r="AC3" i="6"/>
  <c r="AD2" i="6"/>
  <c r="AC2" i="6"/>
  <c r="AA6" i="6"/>
  <c r="Z6" i="6"/>
  <c r="Y6" i="6"/>
  <c r="AA5" i="6"/>
  <c r="Z5" i="6"/>
  <c r="Y5" i="6"/>
  <c r="AA4" i="6"/>
  <c r="Z4" i="6"/>
  <c r="Y4" i="6"/>
  <c r="AA3" i="6"/>
  <c r="Z3" i="6"/>
  <c r="Y3" i="6"/>
  <c r="AA2" i="6"/>
  <c r="Z2" i="6"/>
  <c r="Y2" i="6"/>
  <c r="W7" i="6"/>
  <c r="V7" i="6"/>
  <c r="U7" i="6"/>
  <c r="W6" i="6"/>
  <c r="V6" i="6"/>
  <c r="U6" i="6"/>
  <c r="W5" i="6"/>
  <c r="V5" i="6"/>
  <c r="U5" i="6"/>
  <c r="W4" i="6"/>
  <c r="V4" i="6"/>
  <c r="U4" i="6"/>
  <c r="W3" i="6"/>
  <c r="V3" i="6"/>
  <c r="U3" i="6"/>
  <c r="R7" i="6"/>
  <c r="Q7" i="6"/>
  <c r="P7" i="6"/>
  <c r="R6" i="6"/>
  <c r="Q6" i="6"/>
  <c r="P6" i="6"/>
  <c r="R5" i="6"/>
  <c r="Q5" i="6"/>
  <c r="P5" i="6"/>
  <c r="R4" i="6"/>
  <c r="Q4" i="6"/>
  <c r="P4" i="6"/>
  <c r="R3" i="6"/>
  <c r="Q3" i="6"/>
  <c r="P3" i="6"/>
  <c r="M6" i="6"/>
  <c r="L6" i="6"/>
  <c r="K6" i="6"/>
  <c r="M5" i="6"/>
  <c r="L5" i="6"/>
  <c r="K5" i="6"/>
  <c r="M4" i="6"/>
  <c r="L4" i="6"/>
  <c r="K4" i="6"/>
  <c r="M3" i="6"/>
  <c r="L3" i="6"/>
  <c r="K3" i="6"/>
  <c r="I7" i="6"/>
  <c r="H7" i="6"/>
  <c r="G7" i="6"/>
  <c r="I6" i="6"/>
  <c r="H6" i="6"/>
  <c r="G6" i="6"/>
  <c r="I5" i="6"/>
  <c r="H5" i="6"/>
  <c r="G5" i="6"/>
  <c r="I4" i="6"/>
  <c r="H4" i="6"/>
  <c r="G4" i="6"/>
  <c r="I3" i="6"/>
  <c r="H3" i="6"/>
  <c r="G3" i="6"/>
  <c r="W2" i="6"/>
  <c r="V2" i="6"/>
  <c r="U2" i="6"/>
  <c r="R2" i="6"/>
  <c r="Q2" i="6"/>
  <c r="P2" i="6"/>
  <c r="M2" i="6"/>
  <c r="L2" i="6"/>
  <c r="K2" i="6"/>
  <c r="I2" i="6"/>
  <c r="H2" i="6"/>
  <c r="G2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B5" i="6"/>
  <c r="A5" i="6"/>
  <c r="E4" i="6"/>
  <c r="D4" i="6"/>
  <c r="C4" i="6"/>
  <c r="B4" i="6"/>
  <c r="A4" i="6"/>
  <c r="E3" i="6"/>
  <c r="D3" i="6"/>
  <c r="C3" i="6"/>
  <c r="B3" i="6"/>
  <c r="A3" i="6"/>
  <c r="E2" i="6"/>
  <c r="D2" i="6"/>
  <c r="C2" i="6"/>
  <c r="B2" i="6"/>
  <c r="A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Sozos Koulas</author>
  </authors>
  <commentList>
    <comment ref="BA2" authorId="0" shapeId="0" xr:uid="{55050031-EAC4-485E-A91E-C803181325C3}">
      <text>
        <r>
          <rPr>
            <b/>
            <sz val="9"/>
            <color indexed="81"/>
            <rFont val="Tahoma"/>
            <charset val="1"/>
          </rPr>
          <t>Sozos Koulas:</t>
        </r>
        <r>
          <rPr>
            <sz val="9"/>
            <color indexed="81"/>
            <rFont val="Tahoma"/>
            <charset val="1"/>
          </rPr>
          <t xml:space="preserve">
2 flops x 128 MACs x 300 MHz = 76.8 GFLOPS</t>
        </r>
      </text>
    </comment>
  </commentList>
</comments>
</file>

<file path=xl/sharedStrings.xml><?xml version="1.0" encoding="utf-8"?>
<sst xmlns="http://schemas.openxmlformats.org/spreadsheetml/2006/main" count="693" uniqueCount="196">
  <si>
    <t>design</t>
  </si>
  <si>
    <t>clock_mhz</t>
  </si>
  <si>
    <t>sparsity</t>
  </si>
  <si>
    <t>sparsity_order</t>
  </si>
  <si>
    <t>estimator</t>
  </si>
  <si>
    <t>n_runs</t>
  </si>
  <si>
    <t>M_rows</t>
  </si>
  <si>
    <t>N_cols</t>
  </si>
  <si>
    <t>weight_beats</t>
  </si>
  <si>
    <t>beats_per_row</t>
  </si>
  <si>
    <t>latency_avg_us</t>
  </si>
  <si>
    <t>latency_best_us</t>
  </si>
  <si>
    <t>latency_worst_us</t>
  </si>
  <si>
    <t>spread_pct</t>
  </si>
  <si>
    <t>Mrow_s</t>
  </si>
  <si>
    <t>bandwidth_avg_GBs</t>
  </si>
  <si>
    <t>bandwidth_roofline_GBs</t>
  </si>
  <si>
    <t>pct_of_roofline</t>
  </si>
  <si>
    <t>GFLOPS_effective</t>
  </si>
  <si>
    <t>GFLOPS_actual</t>
  </si>
  <si>
    <t>speedup_vs_dense</t>
  </si>
  <si>
    <t>theory_speedup</t>
  </si>
  <si>
    <t>pct_of_theory</t>
  </si>
  <si>
    <t>input_PCs</t>
  </si>
  <si>
    <t>DSPs</t>
  </si>
  <si>
    <t>GFLOPS_eff_per_DSP</t>
  </si>
  <si>
    <t>ideal_latency_us</t>
  </si>
  <si>
    <t>dsp_occupancy_raw</t>
  </si>
  <si>
    <t>launch_overhead_us</t>
  </si>
  <si>
    <t>dsp_occupancy_compute</t>
  </si>
  <si>
    <t>dsp_stall_pct</t>
  </si>
  <si>
    <t>MAC_rate_GMACs</t>
  </si>
  <si>
    <t>GFLOPS_actual_per_DSP</t>
  </si>
  <si>
    <t>runs</t>
  </si>
  <si>
    <t>dense</t>
  </si>
  <si>
    <t>run_avg3</t>
  </si>
  <si>
    <t>7747.209 7754.049 7735.473</t>
  </si>
  <si>
    <t>sparse</t>
  </si>
  <si>
    <t>2:4</t>
  </si>
  <si>
    <t>7832.520 7824.003 7858.873 7799.745 7821.530 7822.824</t>
  </si>
  <si>
    <t>2:8</t>
  </si>
  <si>
    <t>7841.451 7839.661 7874.058 7885.782 7905.205 7748.434</t>
  </si>
  <si>
    <t>2:16</t>
  </si>
  <si>
    <t>7897.634 7968.461 7917.867 7779.594 7923.621 7978.226</t>
  </si>
  <si>
    <t>2:32</t>
  </si>
  <si>
    <t>7953.457 8010.233 8059.005 8122.858 7999.282 7886.723</t>
  </si>
  <si>
    <t>MIXED</t>
  </si>
  <si>
    <t>7524.872 7393.941 7232.363 7641.087 7407.585 7469.585</t>
  </si>
  <si>
    <t>7141.519 7132.197 7116.794</t>
  </si>
  <si>
    <t>7233.533 7346.612 7338.041</t>
  </si>
  <si>
    <t>7261.852 7357.319 7335.403</t>
  </si>
  <si>
    <t>7239.728 7378.655 7404.427</t>
  </si>
  <si>
    <t>7506.409 7546.398 7482.858</t>
  </si>
  <si>
    <t>6938.383 6881.079 6933.876</t>
  </si>
  <si>
    <t>shape</t>
  </si>
  <si>
    <t>dimensions</t>
  </si>
  <si>
    <t>matrix_elements</t>
  </si>
  <si>
    <t>shape_order</t>
  </si>
  <si>
    <t>nwin</t>
  </si>
  <si>
    <t>beats_per_matrix</t>
  </si>
  <si>
    <t>batch_R</t>
  </si>
  <si>
    <t>latency_per_matrix_us</t>
  </si>
  <si>
    <t>ideal_per_matrix_us</t>
  </si>
  <si>
    <t>dsp_occupancy</t>
  </si>
  <si>
    <t>bandwidth_GBs</t>
  </si>
  <si>
    <t>latency_norm_dense</t>
  </si>
  <si>
    <t>G1</t>
  </si>
  <si>
    <t>512x512</t>
  </si>
  <si>
    <t>G2</t>
  </si>
  <si>
    <t>768x768</t>
  </si>
  <si>
    <t>G3</t>
  </si>
  <si>
    <t>1024x1024</t>
  </si>
  <si>
    <t>G4</t>
  </si>
  <si>
    <t>3072x768</t>
  </si>
  <si>
    <t>G5</t>
  </si>
  <si>
    <t>768x3072</t>
  </si>
  <si>
    <t>G6</t>
  </si>
  <si>
    <t>4096x1024</t>
  </si>
  <si>
    <t>G7</t>
  </si>
  <si>
    <t>1024x4096</t>
  </si>
  <si>
    <t>G8</t>
  </si>
  <si>
    <t>2048x2048</t>
  </si>
  <si>
    <t>G9</t>
  </si>
  <si>
    <t>4096x4096</t>
  </si>
  <si>
    <t>G10</t>
  </si>
  <si>
    <t>8192x2048</t>
  </si>
  <si>
    <t>G11</t>
  </si>
  <si>
    <t>2048x8192</t>
  </si>
  <si>
    <t>GEOMEAN</t>
  </si>
  <si>
    <t>sparsity_M</t>
  </si>
  <si>
    <t>beats_per_cycle</t>
  </si>
  <si>
    <t>board_load_W</t>
  </si>
  <si>
    <t>board_idle_W</t>
  </si>
  <si>
    <t>board_dynamic_W</t>
  </si>
  <si>
    <t>vccint_load_W</t>
  </si>
  <si>
    <t>vccint_idle_W</t>
  </si>
  <si>
    <t>vccint_dynamic_W</t>
  </si>
  <si>
    <t>noncore_dynamic_W</t>
  </si>
  <si>
    <t>energy_nJ_per_row_board</t>
  </si>
  <si>
    <t>energy_nJ_per_row_vccint</t>
  </si>
  <si>
    <t>GMAC_per_W</t>
  </si>
  <si>
    <t>sweep_fit</t>
  </si>
  <si>
    <t>power_soak</t>
  </si>
  <si>
    <t>MIXED 2:4|2:8|2:16|2:32</t>
  </si>
  <si>
    <t>mixed_run_avg3</t>
  </si>
  <si>
    <t>row_type</t>
  </si>
  <si>
    <t>seq</t>
  </si>
  <si>
    <t>sparsity_code</t>
  </si>
  <si>
    <t>freeze_cycles</t>
  </si>
  <si>
    <t>beats_per_lap</t>
  </si>
  <si>
    <t>laps</t>
  </si>
  <si>
    <t>rows</t>
  </si>
  <si>
    <t>us_per_beat_own_uniform_fit</t>
  </si>
  <si>
    <t>predicted_compute_us</t>
  </si>
  <si>
    <t>kernel_span_us</t>
  </si>
  <si>
    <t>beats_per_cycle_raw</t>
  </si>
  <si>
    <t>span_best_us</t>
  </si>
  <si>
    <t>span_worst_us</t>
  </si>
  <si>
    <t>implied_overhead_us</t>
  </si>
  <si>
    <t>beats_per_cycle_overhead_corrected</t>
  </si>
  <si>
    <t>segment</t>
  </si>
  <si>
    <t>00</t>
  </si>
  <si>
    <t>01</t>
  </si>
  <si>
    <t>10</t>
  </si>
  <si>
    <t>11</t>
  </si>
  <si>
    <t>total</t>
  </si>
  <si>
    <t>repetition</t>
  </si>
  <si>
    <t>summary</t>
  </si>
  <si>
    <t>site_type</t>
  </si>
  <si>
    <t>SLR0</t>
  </si>
  <si>
    <t>SLR1</t>
  </si>
  <si>
    <t>SLR2</t>
  </si>
  <si>
    <t>SLR0_pct</t>
  </si>
  <si>
    <t>SLR1_pct</t>
  </si>
  <si>
    <t>SLR2_pct</t>
  </si>
  <si>
    <t>holds</t>
  </si>
  <si>
    <t>CLB</t>
  </si>
  <si>
    <t>CLB LUTs</t>
  </si>
  <si>
    <t>LUT as Logic</t>
  </si>
  <si>
    <t>LUT as Memory</t>
  </si>
  <si>
    <t>CLB Registers</t>
  </si>
  <si>
    <t>CARRY8</t>
  </si>
  <si>
    <t>F7 Muxes</t>
  </si>
  <si>
    <t>8192 of SLR1's are the sparse gather muxes</t>
  </si>
  <si>
    <t>F8 Muxes</t>
  </si>
  <si>
    <t>Block RAM Tile</t>
  </si>
  <si>
    <t>SLR0 highest (41%) = mover FIFOs + HBM interconnect</t>
  </si>
  <si>
    <t>URAM</t>
  </si>
  <si>
    <t>ALL 512 in SLR1 = the entire GEMV engine, one die</t>
  </si>
  <si>
    <t>GTs</t>
  </si>
  <si>
    <t>SLR0 only = PCIe transceivers</t>
  </si>
  <si>
    <t>SLL SLR1&lt;-&gt;SLR0</t>
  </si>
  <si>
    <t>the 17 AXIS kernel-to-kernel streams</t>
  </si>
  <si>
    <t>SLL SLR2&lt;-&gt;SLR1</t>
  </si>
  <si>
    <t>platform, not ours</t>
  </si>
  <si>
    <t>SLL total</t>
  </si>
  <si>
    <t>Shape</t>
  </si>
  <si>
    <t>CHART 1 — speedup_vs_dense by shape (Shapes, sparse only, sorted by shape_order 1..12)</t>
  </si>
  <si>
    <t>Sparsity</t>
  </si>
  <si>
    <t>300 MHz</t>
  </si>
  <si>
    <t>325 MHz</t>
  </si>
  <si>
    <t>CHART 2 — GFLOPS_effective by sparsity &amp; clock (avg3 comparison)</t>
  </si>
  <si>
    <t>Rows computed</t>
  </si>
  <si>
    <t>Latency (us)</t>
  </si>
  <si>
    <t>CHART 3 — 300 MHz only, MIXED excluded</t>
  </si>
  <si>
    <t>GFLOPS actual per DSP</t>
  </si>
  <si>
    <t>GFLOPS effective per DSP</t>
  </si>
  <si>
    <t>CHART 4 — 300 MHz only</t>
  </si>
  <si>
    <t>CHART 5 — dsp_occupancy_compute</t>
  </si>
  <si>
    <t>CHART 6 — Master, estimator = power_soak only</t>
  </si>
  <si>
    <t>Board load (W)</t>
  </si>
  <si>
    <t>CHART 7 — Master, power_soak AND 300 MHz</t>
  </si>
  <si>
    <t>Case</t>
  </si>
  <si>
    <t>2:4 segment</t>
  </si>
  <si>
    <t>2:8 segment</t>
  </si>
  <si>
    <t>2:16 segment</t>
  </si>
  <si>
    <t>2:32 segment</t>
  </si>
  <si>
    <t>launch overhead</t>
  </si>
  <si>
    <t>Measured kernel span</t>
  </si>
  <si>
    <t>Predicted</t>
  </si>
  <si>
    <t>Measured</t>
  </si>
  <si>
    <t>Predicted total</t>
  </si>
  <si>
    <t>CHART 8 — segments from row_type=segment; overhead = implied_overhead_us; measured = kernel_span_us (row_type=summary)</t>
  </si>
  <si>
    <t>Hardware ceiling (GFLOPS)</t>
  </si>
  <si>
    <t>Dimensions</t>
  </si>
  <si>
    <t>dense (eff)</t>
  </si>
  <si>
    <t>2:4 (eff)</t>
  </si>
  <si>
    <t>2:8 (eff)</t>
  </si>
  <si>
    <t>2:16 (eff)</t>
  </si>
  <si>
    <t>2:32 (eff)</t>
  </si>
  <si>
    <t>hardware ceiling</t>
  </si>
  <si>
    <t>CHARTS 9 &amp; 10 — Shapes, GEOMEAN (shape_order 12) excluded; actual = GFLOPS_actual, eff = GFLOPS_effective</t>
  </si>
  <si>
    <t>hardware ceiling (2 flops x 128 MACs x 300 MHz)</t>
  </si>
  <si>
    <t>CHART 9 — GFLOPS_actual by dimensions + ceiling reference line</t>
  </si>
  <si>
    <t>data_source</t>
  </si>
  <si>
    <t>measured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</si>
</sst>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3" fontId="0" fillId="0" borderId="1" xfId="0" applyNumberFormat="1" applyBorder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49" fontId="2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Speed-up vs dense across 11 GEMV shapes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Data'!$B$1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Data'!$B$2:$B$13</c:f>
              <c:numCache>
                <c:formatCode>General</c:formatCode>
                <c:ptCount val="12"/>
                <c:pt idx="0">
                  <c:v>2.0023</c:v>
                </c:pt>
                <c:pt idx="1">
                  <c:v>2.0306999999999999</c:v>
                </c:pt>
                <c:pt idx="2">
                  <c:v>1.9512</c:v>
                </c:pt>
                <c:pt idx="3">
                  <c:v>1.9790000000000001</c:v>
                </c:pt>
                <c:pt idx="4">
                  <c:v>2.0023</c:v>
                </c:pt>
                <c:pt idx="5">
                  <c:v>2.0194999999999999</c:v>
                </c:pt>
                <c:pt idx="6">
                  <c:v>1.9978</c:v>
                </c:pt>
                <c:pt idx="7">
                  <c:v>1.9745999999999999</c:v>
                </c:pt>
                <c:pt idx="8">
                  <c:v>2.0206</c:v>
                </c:pt>
                <c:pt idx="9">
                  <c:v>2.0022000000000002</c:v>
                </c:pt>
                <c:pt idx="10">
                  <c:v>2.02</c:v>
                </c:pt>
                <c:pt idx="11">
                  <c:v>1.9999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0C-4AEB-8B60-EED740309F43}"/>
            </c:ext>
          </c:extLst>
        </c:ser>
        <c:ser>
          <c:idx val="1"/>
          <c:order val="1"/>
          <c:tx>
            <c:strRef>
              <c:f>'Chart Data'!$C$1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Data'!$C$2:$C$13</c:f>
              <c:numCache>
                <c:formatCode>General</c:formatCode>
                <c:ptCount val="12"/>
                <c:pt idx="0">
                  <c:v>3.8917999999999999</c:v>
                </c:pt>
                <c:pt idx="1">
                  <c:v>3.9712000000000001</c:v>
                </c:pt>
                <c:pt idx="2">
                  <c:v>3.8723999999999998</c:v>
                </c:pt>
                <c:pt idx="3">
                  <c:v>3.9333999999999998</c:v>
                </c:pt>
                <c:pt idx="4">
                  <c:v>4.0072999999999999</c:v>
                </c:pt>
                <c:pt idx="5">
                  <c:v>3.9889000000000001</c:v>
                </c:pt>
                <c:pt idx="6">
                  <c:v>3.9828999999999999</c:v>
                </c:pt>
                <c:pt idx="7">
                  <c:v>3.9630000000000001</c:v>
                </c:pt>
                <c:pt idx="8">
                  <c:v>3.9729000000000001</c:v>
                </c:pt>
                <c:pt idx="9">
                  <c:v>3.9874999999999998</c:v>
                </c:pt>
                <c:pt idx="10">
                  <c:v>4.0167999999999999</c:v>
                </c:pt>
                <c:pt idx="11">
                  <c:v>3.9622999999999999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0C-4AEB-8B60-EED740309F43}"/>
            </c:ext>
          </c:extLst>
        </c:ser>
        <c:ser>
          <c:idx val="2"/>
          <c:order val="2"/>
          <c:tx>
            <c:strRef>
              <c:f>'Chart Data'!$D$1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Data'!$D$2:$D$13</c:f>
              <c:numCache>
                <c:formatCode>General</c:formatCode>
                <c:ptCount val="12"/>
                <c:pt idx="0">
                  <c:v>7.7542</c:v>
                </c:pt>
                <c:pt idx="1">
                  <c:v>7.8612000000000002</c:v>
                </c:pt>
                <c:pt idx="2">
                  <c:v>7.7714999999999996</c:v>
                </c:pt>
                <c:pt idx="3">
                  <c:v>7.8708</c:v>
                </c:pt>
                <c:pt idx="4">
                  <c:v>8.0741999999999994</c:v>
                </c:pt>
                <c:pt idx="5">
                  <c:v>7.9565999999999999</c:v>
                </c:pt>
                <c:pt idx="6">
                  <c:v>7.9751000000000003</c:v>
                </c:pt>
                <c:pt idx="7">
                  <c:v>8.0017999999999994</c:v>
                </c:pt>
                <c:pt idx="8">
                  <c:v>7.9962999999999997</c:v>
                </c:pt>
                <c:pt idx="9">
                  <c:v>7.9686000000000003</c:v>
                </c:pt>
                <c:pt idx="10">
                  <c:v>8.0263000000000009</c:v>
                </c:pt>
                <c:pt idx="11">
                  <c:v>7.9318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0C-4AEB-8B60-EED740309F43}"/>
            </c:ext>
          </c:extLst>
        </c:ser>
        <c:ser>
          <c:idx val="3"/>
          <c:order val="3"/>
          <c:tx>
            <c:strRef>
              <c:f>'Chart Data'!$E$1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Data'!$E$2:$E$13</c:f>
              <c:numCache>
                <c:formatCode>General</c:formatCode>
                <c:ptCount val="12"/>
                <c:pt idx="0">
                  <c:v>15.1937</c:v>
                </c:pt>
                <c:pt idx="1">
                  <c:v>15.7401</c:v>
                </c:pt>
                <c:pt idx="2">
                  <c:v>15.5015</c:v>
                </c:pt>
                <c:pt idx="3">
                  <c:v>15.4823</c:v>
                </c:pt>
                <c:pt idx="4">
                  <c:v>16.191600000000001</c:v>
                </c:pt>
                <c:pt idx="5">
                  <c:v>15.760300000000001</c:v>
                </c:pt>
                <c:pt idx="6">
                  <c:v>16.0367</c:v>
                </c:pt>
                <c:pt idx="7">
                  <c:v>15.825799999999999</c:v>
                </c:pt>
                <c:pt idx="8">
                  <c:v>16.005600000000001</c:v>
                </c:pt>
                <c:pt idx="9">
                  <c:v>15.956899999999999</c:v>
                </c:pt>
                <c:pt idx="10">
                  <c:v>16.263200000000001</c:v>
                </c:pt>
                <c:pt idx="11">
                  <c:v>15.811299999999999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0C-4AEB-8B60-EED740309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5134287"/>
        <c:axId val="1665604015"/>
      </c:barChart>
      <c:catAx>
        <c:axId val="1665134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shape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604015"/>
        <c:crosses val="autoZero"/>
        <c:auto val="1"/>
        <c:lblAlgn val="ctr"/>
        <c:lblOffset val="100"/>
        <c:noMultiLvlLbl val="0"/>
      </c:catAx>
      <c:valAx>
        <c:axId val="166560401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Speed-up vs dense (x)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134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Effective GFLOPS by sparsity and clock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Data'!$H$1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Data'!$G$2:$G$7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Data'!$H$2:$H$7</c:f>
              <c:numCache>
                <c:formatCode>General</c:formatCode>
                <c:ptCount val="6"/>
                <c:pt idx="0">
                  <c:v>69.31</c:v>
                </c:pt>
                <c:pt idx="1">
                  <c:v>137.19</c:v>
                </c:pt>
                <c:pt idx="2">
                  <c:v>273.60000000000002</c:v>
                </c:pt>
                <c:pt idx="3">
                  <c:v>542.91999999999996</c:v>
                </c:pt>
                <c:pt idx="4">
                  <c:v>1073.04</c:v>
                </c:pt>
                <c:pt idx="5">
                  <c:v>288.45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51-4AEE-B043-1EAFB967468E}"/>
            </c:ext>
          </c:extLst>
        </c:ser>
        <c:ser>
          <c:idx val="1"/>
          <c:order val="1"/>
          <c:tx>
            <c:strRef>
              <c:f>'Chart Data'!$I$1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Data'!$G$2:$G$7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Data'!$I$2:$I$7</c:f>
              <c:numCache>
                <c:formatCode>General</c:formatCode>
                <c:ptCount val="6"/>
                <c:pt idx="0">
                  <c:v>75.3</c:v>
                </c:pt>
                <c:pt idx="1">
                  <c:v>146.97</c:v>
                </c:pt>
                <c:pt idx="2">
                  <c:v>293.44</c:v>
                </c:pt>
                <c:pt idx="3">
                  <c:v>585.07000000000005</c:v>
                </c:pt>
                <c:pt idx="4">
                  <c:v>1143.51</c:v>
                </c:pt>
                <c:pt idx="5">
                  <c:v>310.43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51-4AEE-B043-1EAFB96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8762991"/>
        <c:axId val="1665643375"/>
      </c:barChart>
      <c:catAx>
        <c:axId val="16787629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643375"/>
        <c:crosses val="autoZero"/>
        <c:auto val="1"/>
        <c:lblAlgn val="ctr"/>
        <c:lblOffset val="100"/>
        <c:noMultiLvlLbl val="0"/>
      </c:catAx>
      <c:valAx>
        <c:axId val="166564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Effective GFLOPS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78762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Work per DSP: actual rate constant, delivered work is not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Data'!$Q$1</c:f>
              <c:strCache>
                <c:ptCount val="1"/>
                <c:pt idx="0">
                  <c:v>GFLOPS actual per DSP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'Chart Data'!$P$2:$P$7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Data'!$Q$2:$Q$7</c:f>
              <c:numCache>
                <c:formatCode>General</c:formatCode>
                <c:ptCount val="6"/>
                <c:pt idx="0">
                  <c:v>0.13539999999999999</c:v>
                </c:pt>
                <c:pt idx="1">
                  <c:v>0.13400000000000001</c:v>
                </c:pt>
                <c:pt idx="2">
                  <c:v>0.1336</c:v>
                </c:pt>
                <c:pt idx="3">
                  <c:v>0.13250000000000001</c:v>
                </c:pt>
                <c:pt idx="4">
                  <c:v>0.13100000000000001</c:v>
                </c:pt>
                <c:pt idx="5">
                  <c:v>0.1321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8C-43B0-9CF6-96E2E20EC20F}"/>
            </c:ext>
          </c:extLst>
        </c:ser>
        <c:ser>
          <c:idx val="1"/>
          <c:order val="1"/>
          <c:tx>
            <c:strRef>
              <c:f>'Chart Data'!$R$1</c:f>
              <c:strCache>
                <c:ptCount val="1"/>
                <c:pt idx="0">
                  <c:v>GFLOPS effective per DSP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'Chart Data'!$P$2:$P$7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Data'!$R$2:$R$7</c:f>
              <c:numCache>
                <c:formatCode>General</c:formatCode>
                <c:ptCount val="6"/>
                <c:pt idx="0">
                  <c:v>0.13539999999999999</c:v>
                </c:pt>
                <c:pt idx="1">
                  <c:v>0.26800000000000002</c:v>
                </c:pt>
                <c:pt idx="2">
                  <c:v>0.53439999999999999</c:v>
                </c:pt>
                <c:pt idx="3">
                  <c:v>1.0604</c:v>
                </c:pt>
                <c:pt idx="4">
                  <c:v>2.0958000000000001</c:v>
                </c:pt>
                <c:pt idx="5">
                  <c:v>0.56340000000000001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8C-43B0-9CF6-96E2E20EC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7142271"/>
        <c:axId val="1665670735"/>
      </c:lineChart>
      <c:catAx>
        <c:axId val="16871422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670735"/>
        <c:crosses val="autoZero"/>
        <c:auto val="1"/>
        <c:lblAlgn val="ctr"/>
        <c:lblOffset val="100"/>
        <c:noMultiLvlLbl val="0"/>
      </c:catAx>
      <c:valAx>
        <c:axId val="166567073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per DSP (log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7142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DSP occupancy during compute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Data'!$V$1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Data'!$U$2:$U$7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Data'!$V$2:$V$7</c:f>
              <c:numCache>
                <c:formatCode>General</c:formatCode>
                <c:ptCount val="6"/>
                <c:pt idx="0">
                  <c:v>0.95920000000000005</c:v>
                </c:pt>
                <c:pt idx="1">
                  <c:v>0.96989999999999998</c:v>
                </c:pt>
                <c:pt idx="2">
                  <c:v>0.96030000000000004</c:v>
                </c:pt>
                <c:pt idx="3">
                  <c:v>0.95669999999999999</c:v>
                </c:pt>
                <c:pt idx="4">
                  <c:v>0.95499999999999996</c:v>
                </c:pt>
                <c:pt idx="5">
                  <c:v>0.96930000000000005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0-4E00-AC0B-D014D68A8DE2}"/>
            </c:ext>
          </c:extLst>
        </c:ser>
        <c:ser>
          <c:idx val="1"/>
          <c:order val="1"/>
          <c:tx>
            <c:strRef>
              <c:f>'Chart Data'!$W$1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Data'!$U$2:$U$7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Data'!$W$2:$W$7</c:f>
              <c:numCache>
                <c:formatCode>General</c:formatCode>
                <c:ptCount val="6"/>
                <c:pt idx="0">
                  <c:v>0.96709999999999996</c:v>
                </c:pt>
                <c:pt idx="1">
                  <c:v>0.96499999999999997</c:v>
                </c:pt>
                <c:pt idx="2">
                  <c:v>0.95620000000000005</c:v>
                </c:pt>
                <c:pt idx="3">
                  <c:v>0.95779999999999998</c:v>
                </c:pt>
                <c:pt idx="4">
                  <c:v>0.94530000000000003</c:v>
                </c:pt>
                <c:pt idx="5">
                  <c:v>0.97040000000000004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E0-4E00-AC0B-D014D68A8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2366367"/>
        <c:axId val="1665418255"/>
      </c:barChart>
      <c:catAx>
        <c:axId val="16923663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18255"/>
        <c:crosses val="autoZero"/>
        <c:auto val="1"/>
        <c:lblAlgn val="ctr"/>
        <c:lblOffset val="100"/>
        <c:noMultiLvlLbl val="0"/>
      </c:catAx>
      <c:valAx>
        <c:axId val="1665418255"/>
        <c:scaling>
          <c:orientation val="minMax"/>
          <c:max val="1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DSP occupancy (fraction)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9236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Energy per row (board power)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Data'!$Z$1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Data'!$Y$2:$Y$6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Data'!$Z$2:$Z$6</c:f>
              <c:numCache>
                <c:formatCode>General</c:formatCode>
                <c:ptCount val="5"/>
                <c:pt idx="0">
                  <c:v>887.5</c:v>
                </c:pt>
                <c:pt idx="1">
                  <c:v>508</c:v>
                </c:pt>
                <c:pt idx="2">
                  <c:v>253.7</c:v>
                </c:pt>
                <c:pt idx="3">
                  <c:v>128.4</c:v>
                </c:pt>
                <c:pt idx="4">
                  <c:v>65.099999999999994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51-4F4D-B07A-F213CBD46A4D}"/>
            </c:ext>
          </c:extLst>
        </c:ser>
        <c:ser>
          <c:idx val="1"/>
          <c:order val="1"/>
          <c:tx>
            <c:strRef>
              <c:f>'Chart Data'!$AA$1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Data'!$Y$2:$Y$6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Data'!$AA$2:$AA$6</c:f>
              <c:numCache>
                <c:formatCode>General</c:formatCode>
                <c:ptCount val="5"/>
                <c:pt idx="0">
                  <c:v>832.8</c:v>
                </c:pt>
                <c:pt idx="1">
                  <c:v>474.1</c:v>
                </c:pt>
                <c:pt idx="2">
                  <c:v>236</c:v>
                </c:pt>
                <c:pt idx="3">
                  <c:v>121.3</c:v>
                </c:pt>
                <c:pt idx="4">
                  <c:v>61.4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51-4F4D-B07A-F213CBD46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2363119"/>
        <c:axId val="1665454255"/>
      </c:barChart>
      <c:catAx>
        <c:axId val="1692363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54255"/>
        <c:crosses val="autoZero"/>
        <c:auto val="1"/>
        <c:lblAlgn val="ctr"/>
        <c:lblOffset val="100"/>
        <c:noMultiLvlLbl val="0"/>
      </c:catAx>
      <c:valAx>
        <c:axId val="166545425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row (nJ,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92363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Board power is flat across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Data'!$AD$1</c:f>
              <c:strCache>
                <c:ptCount val="1"/>
                <c:pt idx="0">
                  <c:v>Board load (W)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'Chart Data'!$AC$2:$AC$6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Data'!$AD$2:$AD$6</c:f>
              <c:numCache>
                <c:formatCode>General</c:formatCode>
                <c:ptCount val="5"/>
                <c:pt idx="0">
                  <c:v>31.297000000000001</c:v>
                </c:pt>
                <c:pt idx="1">
                  <c:v>35.442</c:v>
                </c:pt>
                <c:pt idx="2">
                  <c:v>35.326999999999998</c:v>
                </c:pt>
                <c:pt idx="3">
                  <c:v>35.412999999999997</c:v>
                </c:pt>
                <c:pt idx="4">
                  <c:v>35.521000000000001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4F-499A-82E3-94AEC1D13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3988575"/>
        <c:axId val="1665447535"/>
      </c:lineChart>
      <c:catAx>
        <c:axId val="16839885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47535"/>
        <c:crosses val="autoZero"/>
        <c:auto val="1"/>
        <c:lblAlgn val="ctr"/>
        <c:lblOffset val="100"/>
        <c:noMultiLvlLbl val="0"/>
      </c:catAx>
      <c:valAx>
        <c:axId val="1665447535"/>
        <c:scaling>
          <c:orientation val="minMax"/>
          <c:max val="38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Board load (W)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3988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 matrix with four different sparsities costs the sum of its parts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Data'!$AG$1</c:f>
              <c:strCache>
                <c:ptCount val="1"/>
                <c:pt idx="0">
                  <c:v>2:4 segment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Data'!$AG$2:$AG$3</c:f>
              <c:numCache>
                <c:formatCode>General</c:formatCode>
                <c:ptCount val="2"/>
                <c:pt idx="0">
                  <c:v>3571.4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7-4E6D-A743-19F3EB79FDE2}"/>
            </c:ext>
          </c:extLst>
        </c:ser>
        <c:ser>
          <c:idx val="1"/>
          <c:order val="1"/>
          <c:tx>
            <c:strRef>
              <c:f>'Chart Data'!$AH$1</c:f>
              <c:strCache>
                <c:ptCount val="1"/>
                <c:pt idx="0">
                  <c:v>2:8 segment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Data'!$AH$2:$AH$3</c:f>
              <c:numCache>
                <c:formatCode>General</c:formatCode>
                <c:ptCount val="2"/>
                <c:pt idx="0">
                  <c:v>1789.9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7-4E6D-A743-19F3EB79FDE2}"/>
            </c:ext>
          </c:extLst>
        </c:ser>
        <c:ser>
          <c:idx val="2"/>
          <c:order val="2"/>
          <c:tx>
            <c:strRef>
              <c:f>'Chart Data'!$AI$1</c:f>
              <c:strCache>
                <c:ptCount val="1"/>
                <c:pt idx="0">
                  <c:v>2:16 segment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Data'!$AI$2:$AI$3</c:f>
              <c:numCache>
                <c:formatCode>General</c:formatCode>
                <c:ptCount val="2"/>
                <c:pt idx="0">
                  <c:v>901.8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67-4E6D-A743-19F3EB79FDE2}"/>
            </c:ext>
          </c:extLst>
        </c:ser>
        <c:ser>
          <c:idx val="3"/>
          <c:order val="3"/>
          <c:tx>
            <c:strRef>
              <c:f>'Chart Data'!$AJ$1</c:f>
              <c:strCache>
                <c:ptCount val="1"/>
                <c:pt idx="0">
                  <c:v>2:32 segment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Data'!$AJ$2:$AJ$3</c:f>
              <c:numCache>
                <c:formatCode>General</c:formatCode>
                <c:ptCount val="2"/>
                <c:pt idx="0">
                  <c:v>453.4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67-4E6D-A743-19F3EB79FDE2}"/>
            </c:ext>
          </c:extLst>
        </c:ser>
        <c:ser>
          <c:idx val="4"/>
          <c:order val="4"/>
          <c:tx>
            <c:strRef>
              <c:f>'Chart Data'!$AK$1</c:f>
              <c:strCache>
                <c:ptCount val="1"/>
                <c:pt idx="0">
                  <c:v>launch overhead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Data'!$AK$2:$AK$3</c:f>
              <c:numCache>
                <c:formatCode>General</c:formatCode>
                <c:ptCount val="2"/>
                <c:pt idx="0">
                  <c:v>700.7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67-4E6D-A743-19F3EB79FDE2}"/>
            </c:ext>
          </c:extLst>
        </c:ser>
        <c:ser>
          <c:idx val="5"/>
          <c:order val="5"/>
          <c:tx>
            <c:strRef>
              <c:f>'Chart Data'!$AL$1</c:f>
              <c:strCache>
                <c:ptCount val="1"/>
                <c:pt idx="0">
                  <c:v>Measured kernel span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Data'!$AL$2:$AL$3</c:f>
              <c:numCache>
                <c:formatCode>General</c:formatCode>
                <c:ptCount val="2"/>
                <c:pt idx="1">
                  <c:v>7417.2169999999996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67-4E6D-A743-19F3EB79F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83998783"/>
        <c:axId val="1665472975"/>
      </c:barChart>
      <c:catAx>
        <c:axId val="1683998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72975"/>
        <c:crosses val="autoZero"/>
        <c:auto val="1"/>
        <c:lblAlgn val="ctr"/>
        <c:lblOffset val="100"/>
        <c:noMultiLvlLbl val="0"/>
      </c:catAx>
      <c:valAx>
        <c:axId val="166547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(us)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3998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Actual GFLOPS is constant across every shape and every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Data'!$BD$1</c:f>
              <c:strCache>
                <c:ptCount val="1"/>
                <c:pt idx="0">
                  <c:v>dense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Data'!$BD$2:$BD$12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99-4797-AF8F-09B1EA15462A}"/>
            </c:ext>
          </c:extLst>
        </c:ser>
        <c:ser>
          <c:idx val="1"/>
          <c:order val="1"/>
          <c:tx>
            <c:strRef>
              <c:f>'Chart Data'!$BE$1</c:f>
              <c:strCache>
                <c:ptCount val="1"/>
                <c:pt idx="0">
                  <c:v>2:4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Data'!$BE$2:$BE$12</c:f>
              <c:numCache>
                <c:formatCode>General</c:formatCode>
                <c:ptCount val="11"/>
                <c:pt idx="0">
                  <c:v>74.180000000000007</c:v>
                </c:pt>
                <c:pt idx="1">
                  <c:v>74.69</c:v>
                </c:pt>
                <c:pt idx="2">
                  <c:v>73.64</c:v>
                </c:pt>
                <c:pt idx="3">
                  <c:v>73.739999999999995</c:v>
                </c:pt>
                <c:pt idx="4">
                  <c:v>74.03</c:v>
                </c:pt>
                <c:pt idx="5">
                  <c:v>74.569999999999993</c:v>
                </c:pt>
                <c:pt idx="6">
                  <c:v>74.12</c:v>
                </c:pt>
                <c:pt idx="7">
                  <c:v>73.510000000000005</c:v>
                </c:pt>
                <c:pt idx="8">
                  <c:v>74.930000000000007</c:v>
                </c:pt>
                <c:pt idx="9">
                  <c:v>73.989999999999995</c:v>
                </c:pt>
                <c:pt idx="10">
                  <c:v>74.53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99-4797-AF8F-09B1EA15462A}"/>
            </c:ext>
          </c:extLst>
        </c:ser>
        <c:ser>
          <c:idx val="2"/>
          <c:order val="2"/>
          <c:tx>
            <c:strRef>
              <c:f>'Chart Data'!$BF$1</c:f>
              <c:strCache>
                <c:ptCount val="1"/>
                <c:pt idx="0">
                  <c:v>2:8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Data'!$BF$2:$BF$12</c:f>
              <c:numCache>
                <c:formatCode>General</c:formatCode>
                <c:ptCount val="11"/>
                <c:pt idx="0">
                  <c:v>72.09</c:v>
                </c:pt>
                <c:pt idx="1">
                  <c:v>73.03</c:v>
                </c:pt>
                <c:pt idx="2">
                  <c:v>73.069999999999993</c:v>
                </c:pt>
                <c:pt idx="3">
                  <c:v>73.28</c:v>
                </c:pt>
                <c:pt idx="4">
                  <c:v>74.08</c:v>
                </c:pt>
                <c:pt idx="5">
                  <c:v>73.64</c:v>
                </c:pt>
                <c:pt idx="6">
                  <c:v>73.88</c:v>
                </c:pt>
                <c:pt idx="7">
                  <c:v>73.77</c:v>
                </c:pt>
                <c:pt idx="8">
                  <c:v>73.66</c:v>
                </c:pt>
                <c:pt idx="9">
                  <c:v>73.680000000000007</c:v>
                </c:pt>
                <c:pt idx="10">
                  <c:v>74.099999999999994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99-4797-AF8F-09B1EA15462A}"/>
            </c:ext>
          </c:extLst>
        </c:ser>
        <c:ser>
          <c:idx val="3"/>
          <c:order val="3"/>
          <c:tx>
            <c:strRef>
              <c:f>'Chart Data'!$BG$1</c:f>
              <c:strCache>
                <c:ptCount val="1"/>
                <c:pt idx="0">
                  <c:v>2:16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Data'!$BG$2:$BG$12</c:f>
              <c:numCache>
                <c:formatCode>General</c:formatCode>
                <c:ptCount val="11"/>
                <c:pt idx="0">
                  <c:v>71.819999999999993</c:v>
                </c:pt>
                <c:pt idx="1">
                  <c:v>72.290000000000006</c:v>
                </c:pt>
                <c:pt idx="2">
                  <c:v>73.319999999999993</c:v>
                </c:pt>
                <c:pt idx="3">
                  <c:v>73.319999999999993</c:v>
                </c:pt>
                <c:pt idx="4">
                  <c:v>74.63</c:v>
                </c:pt>
                <c:pt idx="5">
                  <c:v>73.45</c:v>
                </c:pt>
                <c:pt idx="6">
                  <c:v>73.97</c:v>
                </c:pt>
                <c:pt idx="7">
                  <c:v>74.47</c:v>
                </c:pt>
                <c:pt idx="8">
                  <c:v>74.13</c:v>
                </c:pt>
                <c:pt idx="9">
                  <c:v>73.62</c:v>
                </c:pt>
                <c:pt idx="10">
                  <c:v>74.040000000000006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99-4797-AF8F-09B1EA15462A}"/>
            </c:ext>
          </c:extLst>
        </c:ser>
        <c:ser>
          <c:idx val="4"/>
          <c:order val="4"/>
          <c:tx>
            <c:strRef>
              <c:f>'Chart Data'!$BH$1</c:f>
              <c:strCache>
                <c:ptCount val="1"/>
                <c:pt idx="0">
                  <c:v>2:32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Data'!$BH$2:$BH$12</c:f>
              <c:numCache>
                <c:formatCode>General</c:formatCode>
                <c:ptCount val="11"/>
                <c:pt idx="0">
                  <c:v>70.37</c:v>
                </c:pt>
                <c:pt idx="1">
                  <c:v>72.37</c:v>
                </c:pt>
                <c:pt idx="2">
                  <c:v>73.13</c:v>
                </c:pt>
                <c:pt idx="3">
                  <c:v>72.11</c:v>
                </c:pt>
                <c:pt idx="4">
                  <c:v>74.83</c:v>
                </c:pt>
                <c:pt idx="5">
                  <c:v>72.739999999999995</c:v>
                </c:pt>
                <c:pt idx="6">
                  <c:v>74.37</c:v>
                </c:pt>
                <c:pt idx="7">
                  <c:v>73.64</c:v>
                </c:pt>
                <c:pt idx="8">
                  <c:v>74.19</c:v>
                </c:pt>
                <c:pt idx="9">
                  <c:v>73.709999999999994</c:v>
                </c:pt>
                <c:pt idx="10">
                  <c:v>75.010000000000005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99-4797-AF8F-09B1EA15462A}"/>
            </c:ext>
          </c:extLst>
        </c:ser>
        <c:ser>
          <c:idx val="5"/>
          <c:order val="5"/>
          <c:tx>
            <c:strRef>
              <c:f>'Chart Data'!$BI$1</c:f>
              <c:strCache>
                <c:ptCount val="1"/>
                <c:pt idx="0">
                  <c:v>hardware ceiling (2 flops x 128 MACs x 300 MHz)</c:v>
                </c:pt>
              </c:strCache>
            </c:strRef>
          </c:tx>
          <c:spPr>
            <a:ln w="25400" cap="rnd">
              <a:solidFill>
                <a:srgbClr val="C00000"/>
              </a:solidFill>
              <a:prstDash val="lgDash"/>
              <a:round/>
            </a:ln>
            <a:effectLst/>
          </c:spPr>
          <c:marker>
            <c:symbol val="none"/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Data'!$BI$2:$BI$12</c:f>
              <c:numCache>
                <c:formatCode>General</c:formatCode>
                <c:ptCount val="11"/>
                <c:pt idx="0">
                  <c:v>76.8</c:v>
                </c:pt>
                <c:pt idx="1">
                  <c:v>76.8</c:v>
                </c:pt>
                <c:pt idx="2">
                  <c:v>76.8</c:v>
                </c:pt>
                <c:pt idx="3">
                  <c:v>76.8</c:v>
                </c:pt>
                <c:pt idx="4">
                  <c:v>76.8</c:v>
                </c:pt>
                <c:pt idx="5">
                  <c:v>76.8</c:v>
                </c:pt>
                <c:pt idx="6">
                  <c:v>76.8</c:v>
                </c:pt>
                <c:pt idx="7">
                  <c:v>76.8</c:v>
                </c:pt>
                <c:pt idx="8">
                  <c:v>76.8</c:v>
                </c:pt>
                <c:pt idx="9">
                  <c:v>76.8</c:v>
                </c:pt>
                <c:pt idx="10">
                  <c:v>76.8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99-4797-AF8F-09B1EA154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1110351"/>
        <c:axId val="1665519535"/>
      </c:lineChart>
      <c:catAx>
        <c:axId val="1681110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519535"/>
        <c:crosses val="autoZero"/>
        <c:auto val="1"/>
        <c:lblAlgn val="ctr"/>
        <c:lblOffset val="100"/>
        <c:noMultiLvlLbl val="0"/>
      </c:catAx>
      <c:valAx>
        <c:axId val="1665519535"/>
        <c:scaling>
          <c:orientation val="minMax"/>
          <c:max val="80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GFLOPS_actual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111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 silicon rate never changes; the delivered work does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Data'!$AO$1</c:f>
              <c:strCache>
                <c:ptCount val="1"/>
                <c:pt idx="0">
                  <c:v>dense</c:v>
                </c:pt>
              </c:strCache>
            </c:strRef>
          </c:tx>
          <c:spPr>
            <a:ln w="28575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04040"/>
              </a:solidFill>
              <a:ln w="9525">
                <a:solidFill>
                  <a:srgbClr val="40404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Data'!$AO$2:$AO$12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4-4E73-BF57-D5FE29ED2AFB}"/>
            </c:ext>
          </c:extLst>
        </c:ser>
        <c:ser>
          <c:idx val="1"/>
          <c:order val="1"/>
          <c:tx>
            <c:strRef>
              <c:f>'Chart Data'!$AP$1</c:f>
              <c:strCache>
                <c:ptCount val="1"/>
                <c:pt idx="0">
                  <c:v>2:4</c:v>
                </c:pt>
              </c:strCache>
            </c:strRef>
          </c:tx>
          <c:spPr>
            <a:ln w="28575" cap="rnd">
              <a:solidFill>
                <a:srgbClr val="595959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595959"/>
              </a:solidFill>
              <a:ln w="9525">
                <a:solidFill>
                  <a:srgbClr val="595959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Data'!$AP$2:$AP$12</c:f>
              <c:numCache>
                <c:formatCode>General</c:formatCode>
                <c:ptCount val="11"/>
                <c:pt idx="0">
                  <c:v>74.180000000000007</c:v>
                </c:pt>
                <c:pt idx="1">
                  <c:v>74.69</c:v>
                </c:pt>
                <c:pt idx="2">
                  <c:v>73.64</c:v>
                </c:pt>
                <c:pt idx="3">
                  <c:v>73.739999999999995</c:v>
                </c:pt>
                <c:pt idx="4">
                  <c:v>74.03</c:v>
                </c:pt>
                <c:pt idx="5">
                  <c:v>74.569999999999993</c:v>
                </c:pt>
                <c:pt idx="6">
                  <c:v>74.12</c:v>
                </c:pt>
                <c:pt idx="7">
                  <c:v>73.510000000000005</c:v>
                </c:pt>
                <c:pt idx="8">
                  <c:v>74.930000000000007</c:v>
                </c:pt>
                <c:pt idx="9">
                  <c:v>73.989999999999995</c:v>
                </c:pt>
                <c:pt idx="10">
                  <c:v>74.53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4-4E73-BF57-D5FE29ED2AFB}"/>
            </c:ext>
          </c:extLst>
        </c:ser>
        <c:ser>
          <c:idx val="2"/>
          <c:order val="2"/>
          <c:tx>
            <c:strRef>
              <c:f>'Chart Data'!$AQ$1</c:f>
              <c:strCache>
                <c:ptCount val="1"/>
                <c:pt idx="0">
                  <c:v>2:8</c:v>
                </c:pt>
              </c:strCache>
            </c:strRef>
          </c:tx>
          <c:spPr>
            <a:ln w="28575" cap="rnd">
              <a:solidFill>
                <a:srgbClr val="7F7F7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F7F7F"/>
              </a:solidFill>
              <a:ln w="9525">
                <a:solidFill>
                  <a:srgbClr val="7F7F7F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Data'!$AQ$2:$AQ$12</c:f>
              <c:numCache>
                <c:formatCode>General</c:formatCode>
                <c:ptCount val="11"/>
                <c:pt idx="0">
                  <c:v>72.09</c:v>
                </c:pt>
                <c:pt idx="1">
                  <c:v>73.03</c:v>
                </c:pt>
                <c:pt idx="2">
                  <c:v>73.069999999999993</c:v>
                </c:pt>
                <c:pt idx="3">
                  <c:v>73.28</c:v>
                </c:pt>
                <c:pt idx="4">
                  <c:v>74.08</c:v>
                </c:pt>
                <c:pt idx="5">
                  <c:v>73.64</c:v>
                </c:pt>
                <c:pt idx="6">
                  <c:v>73.88</c:v>
                </c:pt>
                <c:pt idx="7">
                  <c:v>73.77</c:v>
                </c:pt>
                <c:pt idx="8">
                  <c:v>73.66</c:v>
                </c:pt>
                <c:pt idx="9">
                  <c:v>73.680000000000007</c:v>
                </c:pt>
                <c:pt idx="10">
                  <c:v>74.099999999999994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C4-4E73-BF57-D5FE29ED2AFB}"/>
            </c:ext>
          </c:extLst>
        </c:ser>
        <c:ser>
          <c:idx val="3"/>
          <c:order val="3"/>
          <c:tx>
            <c:strRef>
              <c:f>'Chart Data'!$AR$1</c:f>
              <c:strCache>
                <c:ptCount val="1"/>
                <c:pt idx="0">
                  <c:v>2:16</c:v>
                </c:pt>
              </c:strCache>
            </c:strRef>
          </c:tx>
          <c:spPr>
            <a:ln w="28575" cap="rnd">
              <a:solidFill>
                <a:srgbClr val="A6A6A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Data'!$AR$2:$AR$12</c:f>
              <c:numCache>
                <c:formatCode>General</c:formatCode>
                <c:ptCount val="11"/>
                <c:pt idx="0">
                  <c:v>71.819999999999993</c:v>
                </c:pt>
                <c:pt idx="1">
                  <c:v>72.290000000000006</c:v>
                </c:pt>
                <c:pt idx="2">
                  <c:v>73.319999999999993</c:v>
                </c:pt>
                <c:pt idx="3">
                  <c:v>73.319999999999993</c:v>
                </c:pt>
                <c:pt idx="4">
                  <c:v>74.63</c:v>
                </c:pt>
                <c:pt idx="5">
                  <c:v>73.45</c:v>
                </c:pt>
                <c:pt idx="6">
                  <c:v>73.97</c:v>
                </c:pt>
                <c:pt idx="7">
                  <c:v>74.47</c:v>
                </c:pt>
                <c:pt idx="8">
                  <c:v>74.13</c:v>
                </c:pt>
                <c:pt idx="9">
                  <c:v>73.62</c:v>
                </c:pt>
                <c:pt idx="10">
                  <c:v>74.040000000000006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1C4-4E73-BF57-D5FE29ED2AFB}"/>
            </c:ext>
          </c:extLst>
        </c:ser>
        <c:ser>
          <c:idx val="4"/>
          <c:order val="4"/>
          <c:tx>
            <c:strRef>
              <c:f>'Chart Data'!$AS$1</c:f>
              <c:strCache>
                <c:ptCount val="1"/>
                <c:pt idx="0">
                  <c:v>2:32</c:v>
                </c:pt>
              </c:strCache>
            </c:strRef>
          </c:tx>
          <c:spPr>
            <a:ln w="28575" cap="rnd">
              <a:solidFill>
                <a:srgbClr val="BFBFB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BFBFBF"/>
              </a:solidFill>
              <a:ln w="9525">
                <a:solidFill>
                  <a:srgbClr val="BFBFBF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Data'!$AS$2:$AS$12</c:f>
              <c:numCache>
                <c:formatCode>General</c:formatCode>
                <c:ptCount val="11"/>
                <c:pt idx="0">
                  <c:v>70.37</c:v>
                </c:pt>
                <c:pt idx="1">
                  <c:v>72.37</c:v>
                </c:pt>
                <c:pt idx="2">
                  <c:v>73.13</c:v>
                </c:pt>
                <c:pt idx="3">
                  <c:v>72.11</c:v>
                </c:pt>
                <c:pt idx="4">
                  <c:v>74.83</c:v>
                </c:pt>
                <c:pt idx="5">
                  <c:v>72.739999999999995</c:v>
                </c:pt>
                <c:pt idx="6">
                  <c:v>74.37</c:v>
                </c:pt>
                <c:pt idx="7">
                  <c:v>73.64</c:v>
                </c:pt>
                <c:pt idx="8">
                  <c:v>74.19</c:v>
                </c:pt>
                <c:pt idx="9">
                  <c:v>73.709999999999994</c:v>
                </c:pt>
                <c:pt idx="10">
                  <c:v>75.010000000000005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1C4-4E73-BF57-D5FE29ED2AFB}"/>
            </c:ext>
          </c:extLst>
        </c:ser>
        <c:ser>
          <c:idx val="5"/>
          <c:order val="5"/>
          <c:tx>
            <c:strRef>
              <c:f>'Chart Data'!$AT$1</c:f>
              <c:strCache>
                <c:ptCount val="1"/>
                <c:pt idx="0">
                  <c:v>dense (eff)</c:v>
                </c:pt>
              </c:strCache>
            </c:strRef>
          </c:tx>
          <c:spPr>
            <a:ln w="28575" cap="rnd">
              <a:solidFill>
                <a:srgbClr val="7F3300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7F3300"/>
              </a:solidFill>
              <a:ln w="9525">
                <a:solidFill>
                  <a:srgbClr val="7F330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Data'!$AT$2:$AT$12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1C4-4E73-BF57-D5FE29ED2AFB}"/>
            </c:ext>
          </c:extLst>
        </c:ser>
        <c:ser>
          <c:idx val="6"/>
          <c:order val="6"/>
          <c:tx>
            <c:strRef>
              <c:f>'Chart Data'!$AU$1</c:f>
              <c:strCache>
                <c:ptCount val="1"/>
                <c:pt idx="0">
                  <c:v>2:4 (eff)</c:v>
                </c:pt>
              </c:strCache>
            </c:strRef>
          </c:tx>
          <c:spPr>
            <a:ln w="28575" cap="rnd">
              <a:solidFill>
                <a:srgbClr val="B34700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B34700"/>
              </a:solidFill>
              <a:ln w="9525">
                <a:solidFill>
                  <a:srgbClr val="B3470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Data'!$AU$2:$AU$12</c:f>
              <c:numCache>
                <c:formatCode>General</c:formatCode>
                <c:ptCount val="11"/>
                <c:pt idx="0">
                  <c:v>148.36000000000001</c:v>
                </c:pt>
                <c:pt idx="1">
                  <c:v>149.38999999999999</c:v>
                </c:pt>
                <c:pt idx="2">
                  <c:v>147.27000000000001</c:v>
                </c:pt>
                <c:pt idx="3">
                  <c:v>147.47999999999999</c:v>
                </c:pt>
                <c:pt idx="4">
                  <c:v>148.06</c:v>
                </c:pt>
                <c:pt idx="5">
                  <c:v>149.13</c:v>
                </c:pt>
                <c:pt idx="6">
                  <c:v>148.22999999999999</c:v>
                </c:pt>
                <c:pt idx="7">
                  <c:v>147.02000000000001</c:v>
                </c:pt>
                <c:pt idx="8">
                  <c:v>149.86000000000001</c:v>
                </c:pt>
                <c:pt idx="9">
                  <c:v>147.99</c:v>
                </c:pt>
                <c:pt idx="10">
                  <c:v>149.06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1C4-4E73-BF57-D5FE29ED2AFB}"/>
            </c:ext>
          </c:extLst>
        </c:ser>
        <c:ser>
          <c:idx val="7"/>
          <c:order val="7"/>
          <c:tx>
            <c:strRef>
              <c:f>'Chart Data'!$AV$1</c:f>
              <c:strCache>
                <c:ptCount val="1"/>
                <c:pt idx="0">
                  <c:v>2:8 (eff)</c:v>
                </c:pt>
              </c:strCache>
            </c:strRef>
          </c:tx>
          <c:spPr>
            <a:ln w="28575" cap="rnd">
              <a:solidFill>
                <a:srgbClr val="E36C0A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E36C0A"/>
              </a:solidFill>
              <a:ln w="9525">
                <a:solidFill>
                  <a:srgbClr val="E36C0A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Data'!$AV$2:$AV$12</c:f>
              <c:numCache>
                <c:formatCode>General</c:formatCode>
                <c:ptCount val="11"/>
                <c:pt idx="0">
                  <c:v>288.37</c:v>
                </c:pt>
                <c:pt idx="1">
                  <c:v>292.13</c:v>
                </c:pt>
                <c:pt idx="2">
                  <c:v>292.27999999999997</c:v>
                </c:pt>
                <c:pt idx="3">
                  <c:v>293.12</c:v>
                </c:pt>
                <c:pt idx="4">
                  <c:v>296.31</c:v>
                </c:pt>
                <c:pt idx="5">
                  <c:v>294.57</c:v>
                </c:pt>
                <c:pt idx="6">
                  <c:v>295.52</c:v>
                </c:pt>
                <c:pt idx="7">
                  <c:v>295.06</c:v>
                </c:pt>
                <c:pt idx="8">
                  <c:v>294.66000000000003</c:v>
                </c:pt>
                <c:pt idx="9">
                  <c:v>294.72000000000003</c:v>
                </c:pt>
                <c:pt idx="10">
                  <c:v>296.42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1C4-4E73-BF57-D5FE29ED2AFB}"/>
            </c:ext>
          </c:extLst>
        </c:ser>
        <c:ser>
          <c:idx val="8"/>
          <c:order val="8"/>
          <c:tx>
            <c:strRef>
              <c:f>'Chart Data'!$AW$1</c:f>
              <c:strCache>
                <c:ptCount val="1"/>
                <c:pt idx="0">
                  <c:v>2:16 (eff)</c:v>
                </c:pt>
              </c:strCache>
            </c:strRef>
          </c:tx>
          <c:spPr>
            <a:ln w="28575" cap="rnd">
              <a:solidFill>
                <a:srgbClr val="F79646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F79646"/>
              </a:solidFill>
              <a:ln w="9525">
                <a:solidFill>
                  <a:srgbClr val="F79646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Data'!$AW$2:$AW$12</c:f>
              <c:numCache>
                <c:formatCode>General</c:formatCode>
                <c:ptCount val="11"/>
                <c:pt idx="0">
                  <c:v>574.54</c:v>
                </c:pt>
                <c:pt idx="1">
                  <c:v>578.28</c:v>
                </c:pt>
                <c:pt idx="2">
                  <c:v>586.58000000000004</c:v>
                </c:pt>
                <c:pt idx="3">
                  <c:v>586.54999999999995</c:v>
                </c:pt>
                <c:pt idx="4">
                  <c:v>597.04</c:v>
                </c:pt>
                <c:pt idx="5">
                  <c:v>587.58000000000004</c:v>
                </c:pt>
                <c:pt idx="6">
                  <c:v>591.73</c:v>
                </c:pt>
                <c:pt idx="7">
                  <c:v>595.76</c:v>
                </c:pt>
                <c:pt idx="8">
                  <c:v>593.05999999999995</c:v>
                </c:pt>
                <c:pt idx="9">
                  <c:v>588.98</c:v>
                </c:pt>
                <c:pt idx="10">
                  <c:v>592.29999999999995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1C4-4E73-BF57-D5FE29ED2AFB}"/>
            </c:ext>
          </c:extLst>
        </c:ser>
        <c:ser>
          <c:idx val="9"/>
          <c:order val="9"/>
          <c:tx>
            <c:strRef>
              <c:f>'Chart Data'!$AX$1</c:f>
              <c:strCache>
                <c:ptCount val="1"/>
                <c:pt idx="0">
                  <c:v>2:32 (eff)</c:v>
                </c:pt>
              </c:strCache>
            </c:strRef>
          </c:tx>
          <c:spPr>
            <a:ln w="28575" cap="rnd">
              <a:solidFill>
                <a:srgbClr val="FAC090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FAC090"/>
              </a:solidFill>
              <a:ln w="9525">
                <a:solidFill>
                  <a:srgbClr val="FAC09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Data'!$AX$2:$AX$12</c:f>
              <c:numCache>
                <c:formatCode>General</c:formatCode>
                <c:ptCount val="11"/>
                <c:pt idx="0">
                  <c:v>1125.8900000000001</c:v>
                </c:pt>
                <c:pt idx="1">
                  <c:v>1157.8399999999999</c:v>
                </c:pt>
                <c:pt idx="2">
                  <c:v>1170.03</c:v>
                </c:pt>
                <c:pt idx="3">
                  <c:v>1153.79</c:v>
                </c:pt>
                <c:pt idx="4">
                  <c:v>1197.28</c:v>
                </c:pt>
                <c:pt idx="5">
                  <c:v>1163.8599999999999</c:v>
                </c:pt>
                <c:pt idx="6">
                  <c:v>1189.8699999999999</c:v>
                </c:pt>
                <c:pt idx="7">
                  <c:v>1178.3</c:v>
                </c:pt>
                <c:pt idx="8">
                  <c:v>1187.08</c:v>
                </c:pt>
                <c:pt idx="9">
                  <c:v>1179.4100000000001</c:v>
                </c:pt>
                <c:pt idx="10">
                  <c:v>1200.1300000000001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1C4-4E73-BF57-D5FE29ED2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3760799"/>
        <c:axId val="1665526735"/>
      </c:lineChart>
      <c:catAx>
        <c:axId val="16937607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526735"/>
        <c:crosses val="autoZero"/>
        <c:auto val="1"/>
        <c:lblAlgn val="ctr"/>
        <c:lblOffset val="100"/>
        <c:noMultiLvlLbl val="0"/>
      </c:catAx>
      <c:valAx>
        <c:axId val="1665526735"/>
        <c:scaling>
          <c:logBase val="10"/>
          <c:orientation val="minMax"/>
          <c:max val="20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93760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16x the output for 3.4% more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Data'!$L$1</c:f>
              <c:strCache>
                <c:ptCount val="1"/>
                <c:pt idx="0">
                  <c:v>Rows computed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16x the rows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8E4F-4FEA-B7F0-AB6EC12B69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Data'!$K$2:$K$6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Data'!$L$2:$L$6</c:f>
              <c:numCache>
                <c:formatCode>General</c:formatCode>
                <c:ptCount val="5"/>
                <c:pt idx="0">
                  <c:v>262144</c:v>
                </c:pt>
                <c:pt idx="1">
                  <c:v>524288</c:v>
                </c:pt>
                <c:pt idx="2">
                  <c:v>1048576</c:v>
                </c:pt>
                <c:pt idx="3">
                  <c:v>2097152</c:v>
                </c:pt>
                <c:pt idx="4">
                  <c:v>4194304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F-4FEA-B7F0-AB6EC12B6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1084672"/>
        <c:axId val="735698256"/>
      </c:barChart>
      <c:lineChart>
        <c:grouping val="standard"/>
        <c:varyColors val="0"/>
        <c:ser>
          <c:idx val="1"/>
          <c:order val="1"/>
          <c:tx>
            <c:strRef>
              <c:f>'Chart Data'!$M$1</c:f>
              <c:strCache>
                <c:ptCount val="1"/>
                <c:pt idx="0">
                  <c:v>Latency (us)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+3.4% time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8E4F-4FEA-B7F0-AB6EC12B69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Data'!$K$2:$K$6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Data'!$M$2:$M$6</c:f>
              <c:numCache>
                <c:formatCode>General</c:formatCode>
                <c:ptCount val="5"/>
                <c:pt idx="0">
                  <c:v>7745.5770000000002</c:v>
                </c:pt>
                <c:pt idx="1">
                  <c:v>7826.5820000000003</c:v>
                </c:pt>
                <c:pt idx="2">
                  <c:v>7849.0990000000002</c:v>
                </c:pt>
                <c:pt idx="3">
                  <c:v>7910.9</c:v>
                </c:pt>
                <c:pt idx="4">
                  <c:v>8005.26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4F-4FEA-B7F0-AB6EC12B6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1060544"/>
        <c:axId val="735681456"/>
      </c:lineChart>
      <c:catAx>
        <c:axId val="1061060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735681456"/>
        <c:crosses val="autoZero"/>
        <c:auto val="1"/>
        <c:lblAlgn val="ctr"/>
        <c:lblOffset val="100"/>
        <c:noMultiLvlLbl val="0"/>
      </c:catAx>
      <c:valAx>
        <c:axId val="735681456"/>
        <c:scaling>
          <c:orientation val="minMax"/>
          <c:max val="9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(us)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061060544"/>
        <c:crosses val="autoZero"/>
        <c:crossBetween val="between"/>
      </c:valAx>
      <c:valAx>
        <c:axId val="735698256"/>
        <c:scaling>
          <c:orientation val="minMax"/>
          <c:max val="450000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Rows computed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061084672"/>
        <c:crosses val="max"/>
        <c:crossBetween val="between"/>
      </c:valAx>
      <c:catAx>
        <c:axId val="10610846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356982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The silicon rate never changes; the delivered work does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Data'!$AO$1</c:f>
              <c:strCache>
                <c:ptCount val="1"/>
                <c:pt idx="0">
                  <c:v>dense</c:v>
                </c:pt>
              </c:strCache>
            </c:strRef>
          </c:tx>
          <c:spPr>
            <a:solidFill>
              <a:srgbClr val="1F4E79"/>
            </a:solidFill>
            <a:ln w="28575">
              <a:solidFill>
                <a:srgbClr val="1F4E79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Data'!$AO$2:$AO$12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30-400C-84AA-8100AD586AC2}"/>
            </c:ext>
          </c:extLst>
        </c:ser>
        <c:ser>
          <c:idx val="1"/>
          <c:order val="1"/>
          <c:tx>
            <c:strRef>
              <c:f>'Chart Data'!$AP$1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rgbClr val="C00000"/>
            </a:solidFill>
            <a:ln w="28575">
              <a:solidFill>
                <a:srgbClr val="C00000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Data'!$AP$2:$AP$12</c:f>
              <c:numCache>
                <c:formatCode>General</c:formatCode>
                <c:ptCount val="11"/>
                <c:pt idx="0">
                  <c:v>74.180000000000007</c:v>
                </c:pt>
                <c:pt idx="1">
                  <c:v>74.69</c:v>
                </c:pt>
                <c:pt idx="2">
                  <c:v>73.64</c:v>
                </c:pt>
                <c:pt idx="3">
                  <c:v>73.739999999999995</c:v>
                </c:pt>
                <c:pt idx="4">
                  <c:v>74.03</c:v>
                </c:pt>
                <c:pt idx="5">
                  <c:v>74.569999999999993</c:v>
                </c:pt>
                <c:pt idx="6">
                  <c:v>74.12</c:v>
                </c:pt>
                <c:pt idx="7">
                  <c:v>73.510000000000005</c:v>
                </c:pt>
                <c:pt idx="8">
                  <c:v>74.930000000000007</c:v>
                </c:pt>
                <c:pt idx="9">
                  <c:v>73.989999999999995</c:v>
                </c:pt>
                <c:pt idx="10">
                  <c:v>74.53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30-400C-84AA-8100AD586AC2}"/>
            </c:ext>
          </c:extLst>
        </c:ser>
        <c:ser>
          <c:idx val="2"/>
          <c:order val="2"/>
          <c:tx>
            <c:strRef>
              <c:f>'Chart Data'!$AQ$1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rgbClr val="2E7D32"/>
            </a:solidFill>
            <a:ln w="28575">
              <a:solidFill>
                <a:srgbClr val="2E7D32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Data'!$AQ$2:$AQ$12</c:f>
              <c:numCache>
                <c:formatCode>General</c:formatCode>
                <c:ptCount val="11"/>
                <c:pt idx="0">
                  <c:v>72.09</c:v>
                </c:pt>
                <c:pt idx="1">
                  <c:v>73.03</c:v>
                </c:pt>
                <c:pt idx="2">
                  <c:v>73.069999999999993</c:v>
                </c:pt>
                <c:pt idx="3">
                  <c:v>73.28</c:v>
                </c:pt>
                <c:pt idx="4">
                  <c:v>74.08</c:v>
                </c:pt>
                <c:pt idx="5">
                  <c:v>73.64</c:v>
                </c:pt>
                <c:pt idx="6">
                  <c:v>73.88</c:v>
                </c:pt>
                <c:pt idx="7">
                  <c:v>73.77</c:v>
                </c:pt>
                <c:pt idx="8">
                  <c:v>73.66</c:v>
                </c:pt>
                <c:pt idx="9">
                  <c:v>73.680000000000007</c:v>
                </c:pt>
                <c:pt idx="10">
                  <c:v>74.099999999999994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30-400C-84AA-8100AD586AC2}"/>
            </c:ext>
          </c:extLst>
        </c:ser>
        <c:ser>
          <c:idx val="3"/>
          <c:order val="3"/>
          <c:tx>
            <c:strRef>
              <c:f>'Chart Data'!$AR$1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rgbClr val="E69F00"/>
            </a:solidFill>
            <a:ln w="28575">
              <a:solidFill>
                <a:srgbClr val="E69F00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Data'!$AR$2:$AR$12</c:f>
              <c:numCache>
                <c:formatCode>General</c:formatCode>
                <c:ptCount val="11"/>
                <c:pt idx="0">
                  <c:v>71.819999999999993</c:v>
                </c:pt>
                <c:pt idx="1">
                  <c:v>72.290000000000006</c:v>
                </c:pt>
                <c:pt idx="2">
                  <c:v>73.319999999999993</c:v>
                </c:pt>
                <c:pt idx="3">
                  <c:v>73.319999999999993</c:v>
                </c:pt>
                <c:pt idx="4">
                  <c:v>74.63</c:v>
                </c:pt>
                <c:pt idx="5">
                  <c:v>73.45</c:v>
                </c:pt>
                <c:pt idx="6">
                  <c:v>73.97</c:v>
                </c:pt>
                <c:pt idx="7">
                  <c:v>74.47</c:v>
                </c:pt>
                <c:pt idx="8">
                  <c:v>74.13</c:v>
                </c:pt>
                <c:pt idx="9">
                  <c:v>73.62</c:v>
                </c:pt>
                <c:pt idx="10">
                  <c:v>74.040000000000006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30-400C-84AA-8100AD586AC2}"/>
            </c:ext>
          </c:extLst>
        </c:ser>
        <c:ser>
          <c:idx val="4"/>
          <c:order val="4"/>
          <c:tx>
            <c:strRef>
              <c:f>'Chart Data'!$AS$1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rgbClr val="7030A0"/>
            </a:solidFill>
            <a:ln w="28575">
              <a:solidFill>
                <a:srgbClr val="7030A0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Data'!$AS$2:$AS$12</c:f>
              <c:numCache>
                <c:formatCode>General</c:formatCode>
                <c:ptCount val="11"/>
                <c:pt idx="0">
                  <c:v>70.37</c:v>
                </c:pt>
                <c:pt idx="1">
                  <c:v>72.37</c:v>
                </c:pt>
                <c:pt idx="2">
                  <c:v>73.13</c:v>
                </c:pt>
                <c:pt idx="3">
                  <c:v>72.11</c:v>
                </c:pt>
                <c:pt idx="4">
                  <c:v>74.83</c:v>
                </c:pt>
                <c:pt idx="5">
                  <c:v>72.739999999999995</c:v>
                </c:pt>
                <c:pt idx="6">
                  <c:v>74.37</c:v>
                </c:pt>
                <c:pt idx="7">
                  <c:v>73.64</c:v>
                </c:pt>
                <c:pt idx="8">
                  <c:v>74.19</c:v>
                </c:pt>
                <c:pt idx="9">
                  <c:v>73.709999999999994</c:v>
                </c:pt>
                <c:pt idx="10">
                  <c:v>75.010000000000005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730-400C-84AA-8100AD586A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97519711"/>
        <c:axId val="871482095"/>
      </c:barChart>
      <c:catAx>
        <c:axId val="8975197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871482095"/>
        <c:crosses val="autoZero"/>
        <c:auto val="1"/>
        <c:lblAlgn val="ctr"/>
        <c:lblOffset val="100"/>
        <c:noMultiLvlLbl val="0"/>
      </c:catAx>
      <c:valAx>
        <c:axId val="871482095"/>
        <c:scaling>
          <c:orientation val="minMax"/>
          <c:max val="8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897519711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Latency per matrix across shapes and sparsities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Data'!$BL$1</c:f>
              <c:strCache>
                <c:ptCount val="1"/>
                <c:pt idx="0">
                  <c:v>dense</c:v>
                </c:pt>
              </c:strCache>
            </c:strRef>
          </c:tx>
          <c:spPr>
            <a:solidFill>
              <a:srgbClr val="1F4E79"/>
            </a:solidFill>
            <a:ln w="28575">
              <a:solidFill>
                <a:srgbClr val="1F4E79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Data'!$BL$2:$BL$12</c:f>
              <c:numCache>
                <c:formatCode>General</c:formatCode>
                <c:ptCount val="11"/>
                <c:pt idx="0">
                  <c:v>7.0757000000000003</c:v>
                </c:pt>
                <c:pt idx="1">
                  <c:v>16.036000000000001</c:v>
                </c:pt>
                <c:pt idx="2">
                  <c:v>27.784800000000001</c:v>
                </c:pt>
                <c:pt idx="3">
                  <c:v>63.317900000000002</c:v>
                </c:pt>
                <c:pt idx="4">
                  <c:v>63.812800000000003</c:v>
                </c:pt>
                <c:pt idx="5">
                  <c:v>113.5937</c:v>
                </c:pt>
                <c:pt idx="6">
                  <c:v>113.0586</c:v>
                </c:pt>
                <c:pt idx="7">
                  <c:v>112.6688</c:v>
                </c:pt>
                <c:pt idx="8">
                  <c:v>452.42020000000002</c:v>
                </c:pt>
                <c:pt idx="9">
                  <c:v>453.9778</c:v>
                </c:pt>
                <c:pt idx="10">
                  <c:v>454.70249999999999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0C-42EE-9BEA-551CFF5DCBE9}"/>
            </c:ext>
          </c:extLst>
        </c:ser>
        <c:ser>
          <c:idx val="1"/>
          <c:order val="1"/>
          <c:tx>
            <c:strRef>
              <c:f>'Chart Data'!$BM$1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rgbClr val="C00000"/>
            </a:solidFill>
            <a:ln w="28575">
              <a:solidFill>
                <a:srgbClr val="C00000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Data'!$BM$2:$BM$12</c:f>
              <c:numCache>
                <c:formatCode>General</c:formatCode>
                <c:ptCount val="11"/>
                <c:pt idx="0">
                  <c:v>3.5337999999999998</c:v>
                </c:pt>
                <c:pt idx="1">
                  <c:v>7.8966000000000003</c:v>
                </c:pt>
                <c:pt idx="2">
                  <c:v>14.2399</c:v>
                </c:pt>
                <c:pt idx="3">
                  <c:v>31.994599999999998</c:v>
                </c:pt>
                <c:pt idx="4">
                  <c:v>31.870200000000001</c:v>
                </c:pt>
                <c:pt idx="5">
                  <c:v>56.248699999999999</c:v>
                </c:pt>
                <c:pt idx="6">
                  <c:v>56.590200000000003</c:v>
                </c:pt>
                <c:pt idx="7">
                  <c:v>57.058</c:v>
                </c:pt>
                <c:pt idx="8">
                  <c:v>223.9066</c:v>
                </c:pt>
                <c:pt idx="9">
                  <c:v>226.73570000000001</c:v>
                </c:pt>
                <c:pt idx="10">
                  <c:v>225.10550000000001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0C-42EE-9BEA-551CFF5DCBE9}"/>
            </c:ext>
          </c:extLst>
        </c:ser>
        <c:ser>
          <c:idx val="2"/>
          <c:order val="2"/>
          <c:tx>
            <c:strRef>
              <c:f>'Chart Data'!$BN$1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rgbClr val="2E7D32"/>
            </a:solidFill>
            <a:ln w="28575">
              <a:solidFill>
                <a:srgbClr val="2E7D32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Data'!$BN$2:$BN$12</c:f>
              <c:numCache>
                <c:formatCode>General</c:formatCode>
                <c:ptCount val="11"/>
                <c:pt idx="0">
                  <c:v>1.8181</c:v>
                </c:pt>
                <c:pt idx="1">
                  <c:v>4.0381</c:v>
                </c:pt>
                <c:pt idx="2">
                  <c:v>7.1749999999999998</c:v>
                </c:pt>
                <c:pt idx="3">
                  <c:v>16.0976</c:v>
                </c:pt>
                <c:pt idx="4">
                  <c:v>15.924300000000001</c:v>
                </c:pt>
                <c:pt idx="5">
                  <c:v>28.4773</c:v>
                </c:pt>
                <c:pt idx="6">
                  <c:v>28.385899999999999</c:v>
                </c:pt>
                <c:pt idx="7">
                  <c:v>28.4299</c:v>
                </c:pt>
                <c:pt idx="8">
                  <c:v>113.87560000000001</c:v>
                </c:pt>
                <c:pt idx="9">
                  <c:v>113.8514</c:v>
                </c:pt>
                <c:pt idx="10">
                  <c:v>113.20059999999999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0C-42EE-9BEA-551CFF5DCBE9}"/>
            </c:ext>
          </c:extLst>
        </c:ser>
        <c:ser>
          <c:idx val="3"/>
          <c:order val="3"/>
          <c:tx>
            <c:strRef>
              <c:f>'Chart Data'!$BO$1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rgbClr val="E69F00"/>
            </a:solidFill>
            <a:ln w="28575">
              <a:solidFill>
                <a:srgbClr val="E69F00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Data'!$BO$2:$BO$12</c:f>
              <c:numCache>
                <c:formatCode>General</c:formatCode>
                <c:ptCount val="11"/>
                <c:pt idx="0">
                  <c:v>0.91249999999999998</c:v>
                </c:pt>
                <c:pt idx="1">
                  <c:v>2.0398999999999998</c:v>
                </c:pt>
                <c:pt idx="2">
                  <c:v>3.5752000000000002</c:v>
                </c:pt>
                <c:pt idx="3">
                  <c:v>8.0447000000000006</c:v>
                </c:pt>
                <c:pt idx="4">
                  <c:v>7.9032999999999998</c:v>
                </c:pt>
                <c:pt idx="5">
                  <c:v>14.2766</c:v>
                </c:pt>
                <c:pt idx="6">
                  <c:v>14.176500000000001</c:v>
                </c:pt>
                <c:pt idx="7">
                  <c:v>14.080399999999999</c:v>
                </c:pt>
                <c:pt idx="8">
                  <c:v>56.578699999999998</c:v>
                </c:pt>
                <c:pt idx="9">
                  <c:v>56.970500000000001</c:v>
                </c:pt>
                <c:pt idx="10">
                  <c:v>56.651400000000002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0C-42EE-9BEA-551CFF5DCBE9}"/>
            </c:ext>
          </c:extLst>
        </c:ser>
        <c:ser>
          <c:idx val="4"/>
          <c:order val="4"/>
          <c:tx>
            <c:strRef>
              <c:f>'Chart Data'!$BP$1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rgbClr val="7030A0"/>
            </a:solidFill>
            <a:ln w="28575">
              <a:solidFill>
                <a:srgbClr val="7030A0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Data'!$BP$2:$BP$12</c:f>
              <c:numCache>
                <c:formatCode>General</c:formatCode>
                <c:ptCount val="11"/>
                <c:pt idx="0">
                  <c:v>0.4657</c:v>
                </c:pt>
                <c:pt idx="1">
                  <c:v>1.0187999999999999</c:v>
                </c:pt>
                <c:pt idx="2">
                  <c:v>1.7924</c:v>
                </c:pt>
                <c:pt idx="3">
                  <c:v>4.0896999999999997</c:v>
                </c:pt>
                <c:pt idx="4">
                  <c:v>3.9411</c:v>
                </c:pt>
                <c:pt idx="5">
                  <c:v>7.2076000000000002</c:v>
                </c:pt>
                <c:pt idx="6">
                  <c:v>7.05</c:v>
                </c:pt>
                <c:pt idx="7">
                  <c:v>7.1193</c:v>
                </c:pt>
                <c:pt idx="8">
                  <c:v>28.266400000000001</c:v>
                </c:pt>
                <c:pt idx="9">
                  <c:v>28.450299999999999</c:v>
                </c:pt>
                <c:pt idx="10">
                  <c:v>27.9589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10C-42EE-9BEA-551CFF5DCBE9}"/>
            </c:ext>
          </c:extLst>
        </c:ser>
        <c:ser>
          <c:idx val="5"/>
          <c:order val="5"/>
          <c:tx>
            <c:strRef>
              <c:f>'Chart Data'!$BQ$1</c:f>
              <c:strCache>
                <c:ptCount val="1"/>
                <c:pt idx="0">
                  <c:v>MIXED</c:v>
                </c:pt>
              </c:strCache>
            </c:strRef>
          </c:tx>
          <c:spPr>
            <a:solidFill>
              <a:srgbClr val="00838F"/>
            </a:solidFill>
            <a:ln w="28575">
              <a:solidFill>
                <a:srgbClr val="00838F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Data'!$BQ$2:$BQ$12</c:f>
              <c:numCache>
                <c:formatCode>General</c:formatCode>
                <c:ptCount val="11"/>
                <c:pt idx="0">
                  <c:v>1.6601999999999999</c:v>
                </c:pt>
                <c:pt idx="1">
                  <c:v>3.7231000000000001</c:v>
                </c:pt>
                <c:pt idx="2">
                  <c:v>6.4935</c:v>
                </c:pt>
                <c:pt idx="3">
                  <c:v>14.7399</c:v>
                </c:pt>
                <c:pt idx="4">
                  <c:v>14.71</c:v>
                </c:pt>
                <c:pt idx="5">
                  <c:v>26.3139</c:v>
                </c:pt>
                <c:pt idx="6">
                  <c:v>26.0928</c:v>
                </c:pt>
                <c:pt idx="7">
                  <c:v>26.226600000000001</c:v>
                </c:pt>
                <c:pt idx="8">
                  <c:v>104.3351</c:v>
                </c:pt>
                <c:pt idx="9">
                  <c:v>106.1097</c:v>
                </c:pt>
                <c:pt idx="10">
                  <c:v>104.3028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10C-42EE-9BEA-551CFF5DC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11797039"/>
        <c:axId val="31107503"/>
      </c:barChart>
      <c:catAx>
        <c:axId val="4117970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31107503"/>
        <c:crosses val="autoZero"/>
        <c:auto val="1"/>
        <c:lblAlgn val="ctr"/>
        <c:lblOffset val="100"/>
        <c:noMultiLvlLbl val="0"/>
      </c:catAx>
      <c:valAx>
        <c:axId val="31107503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per matrix (us,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41179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13</xdr:col>
      <xdr:colOff>76200</xdr:colOff>
      <xdr:row>26</xdr:row>
      <xdr:rowOff>165100</xdr:rowOff>
    </xdr:to>
    <xdr:graphicFrame macro="">
      <xdr:nvGraphicFramePr>
        <xdr:cNvPr id="2" name="Chart1_SpeedupByShape">
          <a:extLst>
            <a:ext uri="{FF2B5EF4-FFF2-40B4-BE49-F238E27FC236}">
              <a16:creationId xmlns:a16="http://schemas.microsoft.com/office/drawing/2014/main" id="{6615E579-C56D-15B8-D9D3-0C8B212DEE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330200</xdr:colOff>
      <xdr:row>0</xdr:row>
      <xdr:rowOff>127000</xdr:rowOff>
    </xdr:from>
    <xdr:to>
      <xdr:col>26</xdr:col>
      <xdr:colOff>279400</xdr:colOff>
      <xdr:row>26</xdr:row>
      <xdr:rowOff>165100</xdr:rowOff>
    </xdr:to>
    <xdr:graphicFrame macro="">
      <xdr:nvGraphicFramePr>
        <xdr:cNvPr id="3" name="Chart2_ThroughputBySparsity">
          <a:extLst>
            <a:ext uri="{FF2B5EF4-FFF2-40B4-BE49-F238E27FC236}">
              <a16:creationId xmlns:a16="http://schemas.microsoft.com/office/drawing/2014/main" id="{FCEAE5AB-D479-C5B0-E3FB-5BE2A5467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330200</xdr:colOff>
      <xdr:row>28</xdr:row>
      <xdr:rowOff>50800</xdr:rowOff>
    </xdr:from>
    <xdr:to>
      <xdr:col>26</xdr:col>
      <xdr:colOff>279400</xdr:colOff>
      <xdr:row>54</xdr:row>
      <xdr:rowOff>88900</xdr:rowOff>
    </xdr:to>
    <xdr:graphicFrame macro="">
      <xdr:nvGraphicFramePr>
        <xdr:cNvPr id="5" name="Chart4_DSPProductivity">
          <a:extLst>
            <a:ext uri="{FF2B5EF4-FFF2-40B4-BE49-F238E27FC236}">
              <a16:creationId xmlns:a16="http://schemas.microsoft.com/office/drawing/2014/main" id="{F0530E75-AC75-FA7A-A673-E52EC10F39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127000</xdr:colOff>
      <xdr:row>55</xdr:row>
      <xdr:rowOff>158750</xdr:rowOff>
    </xdr:from>
    <xdr:to>
      <xdr:col>13</xdr:col>
      <xdr:colOff>76200</xdr:colOff>
      <xdr:row>82</xdr:row>
      <xdr:rowOff>12700</xdr:rowOff>
    </xdr:to>
    <xdr:graphicFrame macro="">
      <xdr:nvGraphicFramePr>
        <xdr:cNvPr id="6" name="Chart5_DSPOccupancy">
          <a:extLst>
            <a:ext uri="{FF2B5EF4-FFF2-40B4-BE49-F238E27FC236}">
              <a16:creationId xmlns:a16="http://schemas.microsoft.com/office/drawing/2014/main" id="{38B21BD6-21F4-33F3-A293-EAC47CA059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330200</xdr:colOff>
      <xdr:row>55</xdr:row>
      <xdr:rowOff>158750</xdr:rowOff>
    </xdr:from>
    <xdr:to>
      <xdr:col>26</xdr:col>
      <xdr:colOff>279400</xdr:colOff>
      <xdr:row>82</xdr:row>
      <xdr:rowOff>12700</xdr:rowOff>
    </xdr:to>
    <xdr:graphicFrame macro="">
      <xdr:nvGraphicFramePr>
        <xdr:cNvPr id="7" name="Chart6_EnergyPerRow">
          <a:extLst>
            <a:ext uri="{FF2B5EF4-FFF2-40B4-BE49-F238E27FC236}">
              <a16:creationId xmlns:a16="http://schemas.microsoft.com/office/drawing/2014/main" id="{E15C12E7-4071-AD76-4BA7-7DF6F1A4D8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127000</xdr:colOff>
      <xdr:row>83</xdr:row>
      <xdr:rowOff>82550</xdr:rowOff>
    </xdr:from>
    <xdr:to>
      <xdr:col>13</xdr:col>
      <xdr:colOff>76200</xdr:colOff>
      <xdr:row>109</xdr:row>
      <xdr:rowOff>120650</xdr:rowOff>
    </xdr:to>
    <xdr:graphicFrame macro="">
      <xdr:nvGraphicFramePr>
        <xdr:cNvPr id="8" name="Chart7_BoardPowerFlat">
          <a:extLst>
            <a:ext uri="{FF2B5EF4-FFF2-40B4-BE49-F238E27FC236}">
              <a16:creationId xmlns:a16="http://schemas.microsoft.com/office/drawing/2014/main" id="{A6ED31A1-0CDF-DC93-9994-38633D7D5D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330200</xdr:colOff>
      <xdr:row>83</xdr:row>
      <xdr:rowOff>82550</xdr:rowOff>
    </xdr:from>
    <xdr:to>
      <xdr:col>26</xdr:col>
      <xdr:colOff>279400</xdr:colOff>
      <xdr:row>109</xdr:row>
      <xdr:rowOff>120650</xdr:rowOff>
    </xdr:to>
    <xdr:graphicFrame macro="">
      <xdr:nvGraphicFramePr>
        <xdr:cNvPr id="9" name="Chart8_MixedAdditivity">
          <a:extLst>
            <a:ext uri="{FF2B5EF4-FFF2-40B4-BE49-F238E27FC236}">
              <a16:creationId xmlns:a16="http://schemas.microsoft.com/office/drawing/2014/main" id="{7821D03A-9D89-4B99-B30D-AD59989285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127000</xdr:colOff>
      <xdr:row>111</xdr:row>
      <xdr:rowOff>6350</xdr:rowOff>
    </xdr:from>
    <xdr:to>
      <xdr:col>13</xdr:col>
      <xdr:colOff>76200</xdr:colOff>
      <xdr:row>137</xdr:row>
      <xdr:rowOff>44450</xdr:rowOff>
    </xdr:to>
    <xdr:graphicFrame macro="">
      <xdr:nvGraphicFramePr>
        <xdr:cNvPr id="10" name="Chart9_ActualGFLOPSByShape">
          <a:extLst>
            <a:ext uri="{FF2B5EF4-FFF2-40B4-BE49-F238E27FC236}">
              <a16:creationId xmlns:a16="http://schemas.microsoft.com/office/drawing/2014/main" id="{C5D9EFE9-1517-B9BD-8B2A-3B69A7E974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138</xdr:row>
      <xdr:rowOff>114300</xdr:rowOff>
    </xdr:from>
    <xdr:to>
      <xdr:col>26</xdr:col>
      <xdr:colOff>279400</xdr:colOff>
      <xdr:row>170</xdr:row>
      <xdr:rowOff>63500</xdr:rowOff>
    </xdr:to>
    <xdr:graphicFrame macro="">
      <xdr:nvGraphicFramePr>
        <xdr:cNvPr id="11" name="Chart10_ActualVsEffective">
          <a:extLst>
            <a:ext uri="{FF2B5EF4-FFF2-40B4-BE49-F238E27FC236}">
              <a16:creationId xmlns:a16="http://schemas.microsoft.com/office/drawing/2014/main" id="{E7C44F59-D5B9-2959-85A6-D4E7CD5F56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152400</xdr:colOff>
      <xdr:row>27</xdr:row>
      <xdr:rowOff>6350</xdr:rowOff>
    </xdr:from>
    <xdr:to>
      <xdr:col>13</xdr:col>
      <xdr:colOff>50800</xdr:colOff>
      <xdr:row>28</xdr:row>
      <xdr:rowOff>50800</xdr:rowOff>
    </xdr:to>
    <xdr:sp macro="" textlink="">
      <xdr:nvSpPr>
        <xdr:cNvPr id="12" name="Chart1_Subtitle">
          <a:extLst>
            <a:ext uri="{FF2B5EF4-FFF2-40B4-BE49-F238E27FC236}">
              <a16:creationId xmlns:a16="http://schemas.microsoft.com/office/drawing/2014/main" id="{EE7DB5DB-6B0D-990F-5E09-D09138F543A2}"/>
            </a:ext>
          </a:extLst>
        </xdr:cNvPr>
        <xdr:cNvSpPr txBox="1"/>
      </xdr:nvSpPr>
      <xdr:spPr>
        <a:xfrm>
          <a:off x="152400" y="4978400"/>
          <a:ext cx="7823200" cy="228600"/>
        </a:xfrm>
        <a:prstGeom prst="rect">
          <a:avLst/>
        </a:prstGeom>
        <a:noFill/>
        <a:ln>
          <a:noFill/>
        </a:ln>
      </xdr:spPr>
      <xdr:txBody>
        <a:bodyPr vertOverflow="overflow" vert="horz" wrap="square" rtlCol="0" anchor="ctr">
          <a:spAutoFit/>
        </a:bodyPr>
        <a:lstStyle/>
        <a:p>
          <a:pPr algn="l"/>
          <a:r>
            <a:rPr kumimoji="0" lang="en-US" sz="1000" b="0" i="1" u="none" strike="noStrike" kern="0" cap="none" spc="0" normalizeH="0" baseline="0" noProof="0">
              <a:ln>
                <a:noFill/>
              </a:ln>
              <a:solidFill>
                <a:srgbClr val="595959"/>
              </a:solidFill>
              <a:effectLst/>
              <a:uLnTx/>
              <a:uFillTx/>
              <a:latin typeface="Calibri"/>
            </a:rPr>
            <a:t>theory 2/4/8/16x — geomeans 2.00/3.96/7.93/15.81x</a:t>
          </a:r>
          <a:endParaRPr kumimoji="0" lang="en-CY" sz="1000" b="0" i="1" u="none" strike="noStrike" kern="0" cap="none" spc="0" normalizeH="0" baseline="0" noProof="0">
            <a:ln>
              <a:noFill/>
            </a:ln>
            <a:solidFill>
              <a:srgbClr val="595959"/>
            </a:solidFill>
            <a:effectLst/>
            <a:uLnTx/>
            <a:uFillTx/>
            <a:latin typeface="Calibri"/>
          </a:endParaRPr>
        </a:p>
      </xdr:txBody>
    </xdr:sp>
    <xdr:clientData/>
  </xdr:twoCellAnchor>
  <xdr:twoCellAnchor>
    <xdr:from>
      <xdr:col>0</xdr:col>
      <xdr:colOff>126999</xdr:colOff>
      <xdr:row>28</xdr:row>
      <xdr:rowOff>50799</xdr:rowOff>
    </xdr:from>
    <xdr:to>
      <xdr:col>13</xdr:col>
      <xdr:colOff>76199</xdr:colOff>
      <xdr:row>54</xdr:row>
      <xdr:rowOff>88899</xdr:rowOff>
    </xdr:to>
    <xdr:graphicFrame macro="">
      <xdr:nvGraphicFramePr>
        <xdr:cNvPr id="13" name="Chart3_SameTimeMoreWork">
          <a:extLst>
            <a:ext uri="{FF2B5EF4-FFF2-40B4-BE49-F238E27FC236}">
              <a16:creationId xmlns:a16="http://schemas.microsoft.com/office/drawing/2014/main" id="{0DE0747F-F1DE-B6F4-25B6-4647A6F57C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126999</xdr:colOff>
      <xdr:row>171</xdr:row>
      <xdr:rowOff>133349</xdr:rowOff>
    </xdr:from>
    <xdr:to>
      <xdr:col>26</xdr:col>
      <xdr:colOff>279399</xdr:colOff>
      <xdr:row>203</xdr:row>
      <xdr:rowOff>82549</xdr:rowOff>
    </xdr:to>
    <xdr:graphicFrame macro="">
      <xdr:nvGraphicFramePr>
        <xdr:cNvPr id="4" name="Chart11_ActualOnly_ClusteredColumn">
          <a:extLst>
            <a:ext uri="{FF2B5EF4-FFF2-40B4-BE49-F238E27FC236}">
              <a16:creationId xmlns:a16="http://schemas.microsoft.com/office/drawing/2014/main" id="{BF9E9A14-743A-5CE9-7300-3D48359AA9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126999</xdr:colOff>
      <xdr:row>204</xdr:row>
      <xdr:rowOff>152400</xdr:rowOff>
    </xdr:from>
    <xdr:to>
      <xdr:col>26</xdr:col>
      <xdr:colOff>279399</xdr:colOff>
      <xdr:row>236</xdr:row>
      <xdr:rowOff>101600</xdr:rowOff>
    </xdr:to>
    <xdr:graphicFrame macro="">
      <xdr:nvGraphicFramePr>
        <xdr:cNvPr id="14" name="Chart12_LatencyPerMatrix_ClusteredColumn_Log">
          <a:extLst>
            <a:ext uri="{FF2B5EF4-FFF2-40B4-BE49-F238E27FC236}">
              <a16:creationId xmlns:a16="http://schemas.microsoft.com/office/drawing/2014/main" id="{B07F8224-C157-476F-6BCD-83BC1A4AA4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33C4CDE-0477-4874-971E-2E0CEC86980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5ac8da-77e8-4453-8a91-8ae54906a8a0&quot;"/>
  </we:properties>
  <we:bindings/>
  <we:snapshot xmlns:r="http://schemas.openxmlformats.org/officeDocument/2006/relationships"/>
</we:webextension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" customWidth="1"/>
    <col min="2" max="2" width="11" customWidth="1"/>
    <col min="3" max="3" width="10" customWidth="1"/>
    <col min="4" max="4" width="16" customWidth="1"/>
    <col min="5" max="5" width="11" customWidth="1"/>
    <col min="6" max="8" width="10" customWidth="1"/>
    <col min="9" max="9" width="14" customWidth="1"/>
    <col min="10" max="10" width="15" customWidth="1"/>
    <col min="11" max="11" width="16" customWidth="1"/>
    <col min="12" max="12" width="17" customWidth="1"/>
    <col min="13" max="13" width="18" customWidth="1"/>
    <col min="14" max="14" width="12" customWidth="1"/>
    <col min="15" max="15" width="10" customWidth="1"/>
    <col min="16" max="16" width="19" customWidth="1"/>
    <col min="17" max="17" width="24" customWidth="1"/>
    <col min="18" max="18" width="17" customWidth="1"/>
    <col min="19" max="19" width="18" customWidth="1"/>
    <col min="20" max="20" width="15" customWidth="1"/>
    <col min="21" max="21" width="18" customWidth="1"/>
    <col min="22" max="22" width="16" customWidth="1"/>
    <col min="23" max="23" width="15" customWidth="1"/>
    <col min="24" max="24" width="11" customWidth="1"/>
    <col min="25" max="25" width="10" customWidth="1"/>
    <col min="26" max="26" width="20" customWidth="1"/>
    <col min="27" max="27" width="18" customWidth="1"/>
    <col min="28" max="28" width="19" customWidth="1"/>
    <col min="29" max="29" width="20" customWidth="1"/>
    <col min="30" max="30" width="23" customWidth="1"/>
    <col min="31" max="31" width="15" customWidth="1"/>
    <col min="32" max="32" width="16" customWidth="1"/>
    <col min="33" max="33" width="23" customWidth="1"/>
    <col min="34" max="34" width="30" customWidth="1"/>
  </cols>
  <sheetData>
    <row r="1" spans="1:34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spans="1:34" x14ac:dyDescent="0.35">
      <c r="A2" s="2" t="s">
        <v>34</v>
      </c>
      <c r="B2" s="2">
        <v>300</v>
      </c>
      <c r="C2" s="2" t="s">
        <v>34</v>
      </c>
      <c r="D2" s="2">
        <v>1</v>
      </c>
      <c r="E2" s="2" t="s">
        <v>35</v>
      </c>
      <c r="F2" s="2">
        <v>3</v>
      </c>
      <c r="G2" s="3">
        <v>262144</v>
      </c>
      <c r="H2" s="3">
        <v>1024</v>
      </c>
      <c r="I2" s="3">
        <v>2097152</v>
      </c>
      <c r="J2" s="2">
        <v>8</v>
      </c>
      <c r="K2" s="2">
        <v>7745.5770000000002</v>
      </c>
      <c r="L2" s="2">
        <v>7735.473</v>
      </c>
      <c r="M2" s="2">
        <v>7754.049</v>
      </c>
      <c r="N2" s="2">
        <v>0.24</v>
      </c>
      <c r="O2" s="2">
        <v>33.844000000000001</v>
      </c>
      <c r="P2" s="2">
        <v>69.31</v>
      </c>
      <c r="Q2" s="2">
        <v>76.8</v>
      </c>
      <c r="R2" s="2">
        <v>90.3</v>
      </c>
      <c r="S2" s="2">
        <v>69.31</v>
      </c>
      <c r="T2" s="2">
        <v>69.31</v>
      </c>
      <c r="U2" s="2">
        <v>1</v>
      </c>
      <c r="X2" s="2">
        <v>8</v>
      </c>
      <c r="Y2" s="2">
        <v>512</v>
      </c>
      <c r="Z2" s="2">
        <v>0.13539999999999999</v>
      </c>
      <c r="AA2" s="2">
        <v>6990.5</v>
      </c>
      <c r="AB2" s="2">
        <v>0.90249999999999997</v>
      </c>
      <c r="AC2" s="2">
        <v>457.9</v>
      </c>
      <c r="AD2" s="2">
        <v>0.95920000000000005</v>
      </c>
      <c r="AE2" s="2">
        <v>4.08</v>
      </c>
      <c r="AF2" s="2">
        <v>34.659999999999997</v>
      </c>
      <c r="AG2" s="2">
        <v>0.13539999999999999</v>
      </c>
      <c r="AH2" s="2" t="s">
        <v>36</v>
      </c>
    </row>
    <row r="3" spans="1:34" x14ac:dyDescent="0.35">
      <c r="A3" s="2" t="s">
        <v>37</v>
      </c>
      <c r="B3" s="2">
        <v>300</v>
      </c>
      <c r="C3" s="2" t="s">
        <v>38</v>
      </c>
      <c r="D3" s="2">
        <v>2</v>
      </c>
      <c r="E3" s="2" t="s">
        <v>35</v>
      </c>
      <c r="F3" s="2">
        <v>6</v>
      </c>
      <c r="G3" s="3">
        <v>524288</v>
      </c>
      <c r="H3" s="3">
        <v>1024</v>
      </c>
      <c r="I3" s="3">
        <v>2097152</v>
      </c>
      <c r="J3" s="2">
        <v>4</v>
      </c>
      <c r="K3" s="2">
        <v>7826.5820000000003</v>
      </c>
      <c r="L3" s="2">
        <v>7799.7449999999999</v>
      </c>
      <c r="M3" s="2">
        <v>7858.8729999999996</v>
      </c>
      <c r="N3" s="2">
        <v>0.75800000000000001</v>
      </c>
      <c r="O3" s="2">
        <v>66.988</v>
      </c>
      <c r="P3" s="2">
        <v>94.32</v>
      </c>
      <c r="Q3" s="2">
        <v>105.6</v>
      </c>
      <c r="R3" s="2">
        <v>89.3</v>
      </c>
      <c r="S3" s="2">
        <v>137.19</v>
      </c>
      <c r="T3" s="2">
        <v>68.599999999999994</v>
      </c>
      <c r="U3" s="2">
        <v>1.9790000000000001</v>
      </c>
      <c r="V3" s="2">
        <v>2</v>
      </c>
      <c r="W3" s="2">
        <v>99</v>
      </c>
      <c r="X3" s="2">
        <v>11</v>
      </c>
      <c r="Y3" s="2">
        <v>512</v>
      </c>
      <c r="Z3" s="2">
        <v>0.26800000000000002</v>
      </c>
      <c r="AA3" s="2">
        <v>6990.5</v>
      </c>
      <c r="AB3" s="2">
        <v>0.89319999999999999</v>
      </c>
      <c r="AC3" s="2">
        <v>619.1</v>
      </c>
      <c r="AD3" s="2">
        <v>0.96989999999999998</v>
      </c>
      <c r="AE3" s="2">
        <v>3.01</v>
      </c>
      <c r="AF3" s="2">
        <v>34.299999999999997</v>
      </c>
      <c r="AG3" s="2">
        <v>0.13400000000000001</v>
      </c>
      <c r="AH3" s="2" t="s">
        <v>39</v>
      </c>
    </row>
    <row r="4" spans="1:34" x14ac:dyDescent="0.35">
      <c r="A4" s="2" t="s">
        <v>37</v>
      </c>
      <c r="B4" s="2">
        <v>300</v>
      </c>
      <c r="C4" s="2" t="s">
        <v>40</v>
      </c>
      <c r="D4" s="2">
        <v>3</v>
      </c>
      <c r="E4" s="2" t="s">
        <v>35</v>
      </c>
      <c r="F4" s="2">
        <v>6</v>
      </c>
      <c r="G4" s="3">
        <v>1048576</v>
      </c>
      <c r="H4" s="3">
        <v>1024</v>
      </c>
      <c r="I4" s="3">
        <v>2097152</v>
      </c>
      <c r="J4" s="2">
        <v>2</v>
      </c>
      <c r="K4" s="2">
        <v>7849.0990000000002</v>
      </c>
      <c r="L4" s="2">
        <v>7748.4340000000002</v>
      </c>
      <c r="M4" s="2">
        <v>7905.2049999999999</v>
      </c>
      <c r="N4" s="2">
        <v>2.0230000000000001</v>
      </c>
      <c r="O4" s="2">
        <v>133.59200000000001</v>
      </c>
      <c r="P4" s="2">
        <v>94.05</v>
      </c>
      <c r="Q4" s="2">
        <v>105.6</v>
      </c>
      <c r="R4" s="2">
        <v>89.1</v>
      </c>
      <c r="S4" s="2">
        <v>273.60000000000002</v>
      </c>
      <c r="T4" s="2">
        <v>68.400000000000006</v>
      </c>
      <c r="U4" s="2">
        <v>3.9470000000000001</v>
      </c>
      <c r="V4" s="2">
        <v>4</v>
      </c>
      <c r="W4" s="2">
        <v>98.7</v>
      </c>
      <c r="X4" s="2">
        <v>11</v>
      </c>
      <c r="Y4" s="2">
        <v>512</v>
      </c>
      <c r="Z4" s="2">
        <v>0.53439999999999999</v>
      </c>
      <c r="AA4" s="2">
        <v>6990.5</v>
      </c>
      <c r="AB4" s="2">
        <v>0.89059999999999995</v>
      </c>
      <c r="AC4" s="2">
        <v>569.5</v>
      </c>
      <c r="AD4" s="2">
        <v>0.96030000000000004</v>
      </c>
      <c r="AE4" s="2">
        <v>3.97</v>
      </c>
      <c r="AF4" s="2">
        <v>34.200000000000003</v>
      </c>
      <c r="AG4" s="2">
        <v>0.1336</v>
      </c>
      <c r="AH4" s="2" t="s">
        <v>41</v>
      </c>
    </row>
    <row r="5" spans="1:34" x14ac:dyDescent="0.35">
      <c r="A5" s="2" t="s">
        <v>37</v>
      </c>
      <c r="B5" s="2">
        <v>300</v>
      </c>
      <c r="C5" s="2" t="s">
        <v>42</v>
      </c>
      <c r="D5" s="2">
        <v>4</v>
      </c>
      <c r="E5" s="2" t="s">
        <v>35</v>
      </c>
      <c r="F5" s="2">
        <v>6</v>
      </c>
      <c r="G5" s="3">
        <v>2097152</v>
      </c>
      <c r="H5" s="3">
        <v>1024</v>
      </c>
      <c r="I5" s="3">
        <v>2097152</v>
      </c>
      <c r="J5" s="2">
        <v>1</v>
      </c>
      <c r="K5" s="2">
        <v>7910.9</v>
      </c>
      <c r="L5" s="2">
        <v>7779.5940000000001</v>
      </c>
      <c r="M5" s="2">
        <v>7978.2259999999997</v>
      </c>
      <c r="N5" s="2">
        <v>2.5529999999999999</v>
      </c>
      <c r="O5" s="2">
        <v>265.096</v>
      </c>
      <c r="P5" s="2">
        <v>93.31</v>
      </c>
      <c r="Q5" s="2">
        <v>105.6</v>
      </c>
      <c r="R5" s="2">
        <v>88.4</v>
      </c>
      <c r="S5" s="2">
        <v>542.91999999999996</v>
      </c>
      <c r="T5" s="2">
        <v>67.86</v>
      </c>
      <c r="U5" s="2">
        <v>7.8330000000000002</v>
      </c>
      <c r="V5" s="2">
        <v>8</v>
      </c>
      <c r="W5" s="2">
        <v>97.9</v>
      </c>
      <c r="X5" s="2">
        <v>11</v>
      </c>
      <c r="Y5" s="2">
        <v>512</v>
      </c>
      <c r="Z5" s="2">
        <v>1.0604</v>
      </c>
      <c r="AA5" s="2">
        <v>6990.5</v>
      </c>
      <c r="AB5" s="2">
        <v>0.88370000000000004</v>
      </c>
      <c r="AC5" s="2">
        <v>603.70000000000005</v>
      </c>
      <c r="AD5" s="2">
        <v>0.95669999999999999</v>
      </c>
      <c r="AE5" s="2">
        <v>4.33</v>
      </c>
      <c r="AF5" s="2">
        <v>33.93</v>
      </c>
      <c r="AG5" s="2">
        <v>0.13250000000000001</v>
      </c>
      <c r="AH5" s="2" t="s">
        <v>43</v>
      </c>
    </row>
    <row r="6" spans="1:34" x14ac:dyDescent="0.35">
      <c r="A6" s="2" t="s">
        <v>37</v>
      </c>
      <c r="B6" s="2">
        <v>300</v>
      </c>
      <c r="C6" s="2" t="s">
        <v>44</v>
      </c>
      <c r="D6" s="2">
        <v>5</v>
      </c>
      <c r="E6" s="2" t="s">
        <v>35</v>
      </c>
      <c r="F6" s="2">
        <v>6</v>
      </c>
      <c r="G6" s="3">
        <v>4194304</v>
      </c>
      <c r="H6" s="3">
        <v>1024</v>
      </c>
      <c r="I6" s="3">
        <v>2097152</v>
      </c>
      <c r="J6" s="2">
        <v>0.5</v>
      </c>
      <c r="K6" s="2">
        <v>8005.26</v>
      </c>
      <c r="L6" s="2">
        <v>7886.723</v>
      </c>
      <c r="M6" s="2">
        <v>8122.8580000000002</v>
      </c>
      <c r="N6" s="2">
        <v>2.9940000000000002</v>
      </c>
      <c r="O6" s="2">
        <v>523.94399999999996</v>
      </c>
      <c r="P6" s="2">
        <v>92.21</v>
      </c>
      <c r="Q6" s="2">
        <v>105.6</v>
      </c>
      <c r="R6" s="2">
        <v>87.3</v>
      </c>
      <c r="S6" s="2">
        <v>1073.04</v>
      </c>
      <c r="T6" s="2">
        <v>67.06</v>
      </c>
      <c r="U6" s="2">
        <v>15.481</v>
      </c>
      <c r="V6" s="2">
        <v>16</v>
      </c>
      <c r="W6" s="2">
        <v>96.8</v>
      </c>
      <c r="X6" s="2">
        <v>11</v>
      </c>
      <c r="Y6" s="2">
        <v>512</v>
      </c>
      <c r="Z6" s="2">
        <v>2.0958000000000001</v>
      </c>
      <c r="AA6" s="2">
        <v>6990.5</v>
      </c>
      <c r="AB6" s="2">
        <v>0.87319999999999998</v>
      </c>
      <c r="AC6" s="2">
        <v>685.5</v>
      </c>
      <c r="AD6" s="2">
        <v>0.95499999999999996</v>
      </c>
      <c r="AE6" s="2">
        <v>4.5</v>
      </c>
      <c r="AF6" s="2">
        <v>33.53</v>
      </c>
      <c r="AG6" s="2">
        <v>0.13100000000000001</v>
      </c>
      <c r="AH6" s="2" t="s">
        <v>45</v>
      </c>
    </row>
    <row r="7" spans="1:34" x14ac:dyDescent="0.35">
      <c r="A7" s="2" t="s">
        <v>37</v>
      </c>
      <c r="B7" s="2">
        <v>300</v>
      </c>
      <c r="C7" s="2" t="s">
        <v>46</v>
      </c>
      <c r="D7" s="2">
        <v>6</v>
      </c>
      <c r="E7" s="2" t="s">
        <v>35</v>
      </c>
      <c r="F7" s="2">
        <v>6</v>
      </c>
      <c r="G7" s="3">
        <v>1048576</v>
      </c>
      <c r="H7" s="3">
        <v>1024</v>
      </c>
      <c r="I7" s="3">
        <v>1966080</v>
      </c>
      <c r="J7" s="2">
        <v>1.875</v>
      </c>
      <c r="K7" s="2">
        <v>7444.9059999999999</v>
      </c>
      <c r="L7" s="2">
        <v>7232.3630000000003</v>
      </c>
      <c r="M7" s="2">
        <v>7641.0870000000004</v>
      </c>
      <c r="N7" s="2">
        <v>5.6509999999999998</v>
      </c>
      <c r="O7" s="2">
        <v>140.845</v>
      </c>
      <c r="P7" s="2">
        <v>92.96</v>
      </c>
      <c r="Q7" s="2">
        <v>105.6</v>
      </c>
      <c r="R7" s="2">
        <v>88</v>
      </c>
      <c r="S7" s="2">
        <v>288.45</v>
      </c>
      <c r="T7" s="2">
        <v>67.61</v>
      </c>
      <c r="U7" s="2">
        <v>4.1619999999999999</v>
      </c>
      <c r="X7" s="2">
        <v>11</v>
      </c>
      <c r="Y7" s="2">
        <v>512</v>
      </c>
      <c r="Z7" s="2">
        <v>0.56340000000000001</v>
      </c>
      <c r="AA7" s="2">
        <v>6553.6</v>
      </c>
      <c r="AB7" s="2">
        <v>0.88029999999999997</v>
      </c>
      <c r="AC7" s="2">
        <v>684</v>
      </c>
      <c r="AD7" s="2">
        <v>0.96930000000000005</v>
      </c>
      <c r="AE7" s="2">
        <v>3.07</v>
      </c>
      <c r="AF7" s="2">
        <v>33.799999999999997</v>
      </c>
      <c r="AG7" s="2">
        <v>0.1321</v>
      </c>
      <c r="AH7" s="2" t="s">
        <v>47</v>
      </c>
    </row>
    <row r="8" spans="1:34" x14ac:dyDescent="0.35">
      <c r="A8" s="2" t="s">
        <v>34</v>
      </c>
      <c r="B8" s="2">
        <v>325</v>
      </c>
      <c r="C8" s="2" t="s">
        <v>34</v>
      </c>
      <c r="D8" s="2">
        <v>1</v>
      </c>
      <c r="E8" s="2" t="s">
        <v>35</v>
      </c>
      <c r="F8" s="2">
        <v>3</v>
      </c>
      <c r="G8" s="3">
        <v>262144</v>
      </c>
      <c r="H8" s="3">
        <v>1024</v>
      </c>
      <c r="I8" s="3">
        <v>2097152</v>
      </c>
      <c r="J8" s="2">
        <v>8</v>
      </c>
      <c r="K8" s="2">
        <v>7130.17</v>
      </c>
      <c r="L8" s="2">
        <v>7116.7939999999999</v>
      </c>
      <c r="M8" s="2">
        <v>7141.5190000000002</v>
      </c>
      <c r="N8" s="2">
        <v>0.34699999999999998</v>
      </c>
      <c r="O8" s="2">
        <v>36.765000000000001</v>
      </c>
      <c r="P8" s="2">
        <v>75.3</v>
      </c>
      <c r="Q8" s="2">
        <v>83.2</v>
      </c>
      <c r="R8" s="2">
        <v>90.5</v>
      </c>
      <c r="S8" s="2">
        <v>75.3</v>
      </c>
      <c r="T8" s="2">
        <v>75.3</v>
      </c>
      <c r="U8" s="2">
        <v>1</v>
      </c>
      <c r="X8" s="2">
        <v>8</v>
      </c>
      <c r="Y8" s="2">
        <v>512</v>
      </c>
      <c r="Z8" s="2">
        <v>0.14710000000000001</v>
      </c>
      <c r="AA8" s="2">
        <v>6452.8</v>
      </c>
      <c r="AB8" s="2">
        <v>0.90500000000000003</v>
      </c>
      <c r="AC8" s="2">
        <v>457.9</v>
      </c>
      <c r="AD8" s="2">
        <v>0.96709999999999996</v>
      </c>
      <c r="AE8" s="2">
        <v>3.29</v>
      </c>
      <c r="AF8" s="2">
        <v>37.65</v>
      </c>
      <c r="AG8" s="2">
        <v>0.14710000000000001</v>
      </c>
      <c r="AH8" s="2" t="s">
        <v>48</v>
      </c>
    </row>
    <row r="9" spans="1:34" x14ac:dyDescent="0.35">
      <c r="A9" s="2" t="s">
        <v>37</v>
      </c>
      <c r="B9" s="2">
        <v>325</v>
      </c>
      <c r="C9" s="2" t="s">
        <v>38</v>
      </c>
      <c r="D9" s="2">
        <v>2</v>
      </c>
      <c r="E9" s="2" t="s">
        <v>35</v>
      </c>
      <c r="F9" s="2">
        <v>3</v>
      </c>
      <c r="G9" s="3">
        <v>524288</v>
      </c>
      <c r="H9" s="3">
        <v>1024</v>
      </c>
      <c r="I9" s="3">
        <v>2097152</v>
      </c>
      <c r="J9" s="2">
        <v>4</v>
      </c>
      <c r="K9" s="2">
        <v>7306.0619999999999</v>
      </c>
      <c r="L9" s="2">
        <v>7233.5330000000004</v>
      </c>
      <c r="M9" s="2">
        <v>7346.6120000000001</v>
      </c>
      <c r="N9" s="2">
        <v>1.5629999999999999</v>
      </c>
      <c r="O9" s="2">
        <v>71.760999999999996</v>
      </c>
      <c r="P9" s="2">
        <v>101.04</v>
      </c>
      <c r="Q9" s="2">
        <v>114.4</v>
      </c>
      <c r="R9" s="2">
        <v>88.3</v>
      </c>
      <c r="S9" s="2">
        <v>146.97</v>
      </c>
      <c r="T9" s="2">
        <v>73.48</v>
      </c>
      <c r="U9" s="2">
        <v>1.952</v>
      </c>
      <c r="V9" s="2">
        <v>2</v>
      </c>
      <c r="W9" s="2">
        <v>97.6</v>
      </c>
      <c r="X9" s="2">
        <v>11</v>
      </c>
      <c r="Y9" s="2">
        <v>512</v>
      </c>
      <c r="Z9" s="2">
        <v>0.28699999999999998</v>
      </c>
      <c r="AA9" s="2">
        <v>6452.8</v>
      </c>
      <c r="AB9" s="2">
        <v>0.88319999999999999</v>
      </c>
      <c r="AC9" s="2">
        <v>619.1</v>
      </c>
      <c r="AD9" s="2">
        <v>0.96499999999999997</v>
      </c>
      <c r="AE9" s="2">
        <v>3.5</v>
      </c>
      <c r="AF9" s="2">
        <v>36.74</v>
      </c>
      <c r="AG9" s="2">
        <v>0.14349999999999999</v>
      </c>
      <c r="AH9" s="2" t="s">
        <v>49</v>
      </c>
    </row>
    <row r="10" spans="1:34" x14ac:dyDescent="0.35">
      <c r="A10" s="2" t="s">
        <v>37</v>
      </c>
      <c r="B10" s="2">
        <v>325</v>
      </c>
      <c r="C10" s="2" t="s">
        <v>40</v>
      </c>
      <c r="D10" s="2">
        <v>3</v>
      </c>
      <c r="E10" s="2" t="s">
        <v>35</v>
      </c>
      <c r="F10" s="2">
        <v>3</v>
      </c>
      <c r="G10" s="3">
        <v>1048576</v>
      </c>
      <c r="H10" s="3">
        <v>1024</v>
      </c>
      <c r="I10" s="3">
        <v>2097152</v>
      </c>
      <c r="J10" s="2">
        <v>2</v>
      </c>
      <c r="K10" s="2">
        <v>7318.1909999999998</v>
      </c>
      <c r="L10" s="2">
        <v>7261.8519999999999</v>
      </c>
      <c r="M10" s="2">
        <v>7357.3190000000004</v>
      </c>
      <c r="N10" s="2">
        <v>1.3149999999999999</v>
      </c>
      <c r="O10" s="2">
        <v>143.28299999999999</v>
      </c>
      <c r="P10" s="2">
        <v>100.87</v>
      </c>
      <c r="Q10" s="2">
        <v>114.4</v>
      </c>
      <c r="R10" s="2">
        <v>88.2</v>
      </c>
      <c r="S10" s="2">
        <v>293.44</v>
      </c>
      <c r="T10" s="2">
        <v>73.36</v>
      </c>
      <c r="U10" s="2">
        <v>3.8969999999999998</v>
      </c>
      <c r="V10" s="2">
        <v>4</v>
      </c>
      <c r="W10" s="2">
        <v>97.4</v>
      </c>
      <c r="X10" s="2">
        <v>11</v>
      </c>
      <c r="Y10" s="2">
        <v>512</v>
      </c>
      <c r="Z10" s="2">
        <v>0.57310000000000005</v>
      </c>
      <c r="AA10" s="2">
        <v>6452.8</v>
      </c>
      <c r="AB10" s="2">
        <v>0.88170000000000004</v>
      </c>
      <c r="AC10" s="2">
        <v>569.5</v>
      </c>
      <c r="AD10" s="2">
        <v>0.95620000000000005</v>
      </c>
      <c r="AE10" s="2">
        <v>4.38</v>
      </c>
      <c r="AF10" s="2">
        <v>36.68</v>
      </c>
      <c r="AG10" s="2">
        <v>0.14330000000000001</v>
      </c>
      <c r="AH10" s="2" t="s">
        <v>50</v>
      </c>
    </row>
    <row r="11" spans="1:34" x14ac:dyDescent="0.35">
      <c r="A11" s="2" t="s">
        <v>37</v>
      </c>
      <c r="B11" s="2">
        <v>325</v>
      </c>
      <c r="C11" s="2" t="s">
        <v>42</v>
      </c>
      <c r="D11" s="2">
        <v>4</v>
      </c>
      <c r="E11" s="2" t="s">
        <v>35</v>
      </c>
      <c r="F11" s="2">
        <v>3</v>
      </c>
      <c r="G11" s="3">
        <v>2097152</v>
      </c>
      <c r="H11" s="3">
        <v>1024</v>
      </c>
      <c r="I11" s="3">
        <v>2097152</v>
      </c>
      <c r="J11" s="2">
        <v>1</v>
      </c>
      <c r="K11" s="2">
        <v>7340.9369999999999</v>
      </c>
      <c r="L11" s="2">
        <v>7239.7280000000001</v>
      </c>
      <c r="M11" s="2">
        <v>7404.4269999999997</v>
      </c>
      <c r="N11" s="2">
        <v>2.2749999999999999</v>
      </c>
      <c r="O11" s="2">
        <v>285.67899999999997</v>
      </c>
      <c r="P11" s="2">
        <v>100.56</v>
      </c>
      <c r="Q11" s="2">
        <v>114.4</v>
      </c>
      <c r="R11" s="2">
        <v>87.9</v>
      </c>
      <c r="S11" s="2">
        <v>585.07000000000005</v>
      </c>
      <c r="T11" s="2">
        <v>73.13</v>
      </c>
      <c r="U11" s="2">
        <v>7.77</v>
      </c>
      <c r="V11" s="2">
        <v>8</v>
      </c>
      <c r="W11" s="2">
        <v>97.1</v>
      </c>
      <c r="X11" s="2">
        <v>11</v>
      </c>
      <c r="Y11" s="2">
        <v>512</v>
      </c>
      <c r="Z11" s="2">
        <v>1.1427</v>
      </c>
      <c r="AA11" s="2">
        <v>6452.8</v>
      </c>
      <c r="AB11" s="2">
        <v>0.879</v>
      </c>
      <c r="AC11" s="2">
        <v>603.70000000000005</v>
      </c>
      <c r="AD11" s="2">
        <v>0.95779999999999998</v>
      </c>
      <c r="AE11" s="2">
        <v>4.22</v>
      </c>
      <c r="AF11" s="2">
        <v>36.57</v>
      </c>
      <c r="AG11" s="2">
        <v>0.14280000000000001</v>
      </c>
      <c r="AH11" s="2" t="s">
        <v>51</v>
      </c>
    </row>
    <row r="12" spans="1:34" x14ac:dyDescent="0.35">
      <c r="A12" s="2" t="s">
        <v>37</v>
      </c>
      <c r="B12" s="2">
        <v>325</v>
      </c>
      <c r="C12" s="2" t="s">
        <v>44</v>
      </c>
      <c r="D12" s="2">
        <v>5</v>
      </c>
      <c r="E12" s="2" t="s">
        <v>35</v>
      </c>
      <c r="F12" s="2">
        <v>3</v>
      </c>
      <c r="G12" s="3">
        <v>4194304</v>
      </c>
      <c r="H12" s="3">
        <v>1024</v>
      </c>
      <c r="I12" s="3">
        <v>2097152</v>
      </c>
      <c r="J12" s="2">
        <v>0.5</v>
      </c>
      <c r="K12" s="2">
        <v>7511.8879999999999</v>
      </c>
      <c r="L12" s="2">
        <v>7482.8580000000002</v>
      </c>
      <c r="M12" s="2">
        <v>7546.3980000000001</v>
      </c>
      <c r="N12" s="2">
        <v>0.84899999999999998</v>
      </c>
      <c r="O12" s="2">
        <v>558.35500000000002</v>
      </c>
      <c r="P12" s="2">
        <v>98.27</v>
      </c>
      <c r="Q12" s="2">
        <v>114.4</v>
      </c>
      <c r="R12" s="2">
        <v>85.9</v>
      </c>
      <c r="S12" s="2">
        <v>1143.51</v>
      </c>
      <c r="T12" s="2">
        <v>71.47</v>
      </c>
      <c r="U12" s="2">
        <v>15.186999999999999</v>
      </c>
      <c r="V12" s="2">
        <v>16</v>
      </c>
      <c r="W12" s="2">
        <v>94.9</v>
      </c>
      <c r="X12" s="2">
        <v>11</v>
      </c>
      <c r="Y12" s="2">
        <v>512</v>
      </c>
      <c r="Z12" s="2">
        <v>2.2334000000000001</v>
      </c>
      <c r="AA12" s="2">
        <v>6452.8</v>
      </c>
      <c r="AB12" s="2">
        <v>0.85899999999999999</v>
      </c>
      <c r="AC12" s="2">
        <v>685.5</v>
      </c>
      <c r="AD12" s="2">
        <v>0.94530000000000003</v>
      </c>
      <c r="AE12" s="2">
        <v>5.47</v>
      </c>
      <c r="AF12" s="2">
        <v>35.729999999999997</v>
      </c>
      <c r="AG12" s="2">
        <v>0.1396</v>
      </c>
      <c r="AH12" s="2" t="s">
        <v>52</v>
      </c>
    </row>
    <row r="13" spans="1:34" x14ac:dyDescent="0.35">
      <c r="A13" s="2" t="s">
        <v>37</v>
      </c>
      <c r="B13" s="2">
        <v>325</v>
      </c>
      <c r="C13" s="2" t="s">
        <v>46</v>
      </c>
      <c r="D13" s="2">
        <v>6</v>
      </c>
      <c r="E13" s="2" t="s">
        <v>35</v>
      </c>
      <c r="F13" s="2">
        <v>3</v>
      </c>
      <c r="G13" s="3">
        <v>1048576</v>
      </c>
      <c r="H13" s="3">
        <v>1024</v>
      </c>
      <c r="I13" s="3">
        <v>1966080</v>
      </c>
      <c r="J13" s="2">
        <v>1.875</v>
      </c>
      <c r="K13" s="2">
        <v>6917.7790000000005</v>
      </c>
      <c r="L13" s="2">
        <v>6881.0789999999997</v>
      </c>
      <c r="M13" s="2">
        <v>6938.3829999999998</v>
      </c>
      <c r="N13" s="2">
        <v>0.83299999999999996</v>
      </c>
      <c r="O13" s="2">
        <v>151.577</v>
      </c>
      <c r="P13" s="2">
        <v>100.04</v>
      </c>
      <c r="Q13" s="2">
        <v>114.4</v>
      </c>
      <c r="R13" s="2">
        <v>87.4</v>
      </c>
      <c r="S13" s="2">
        <v>310.43</v>
      </c>
      <c r="T13" s="2">
        <v>72.760000000000005</v>
      </c>
      <c r="U13" s="2">
        <v>4.1230000000000002</v>
      </c>
      <c r="X13" s="2">
        <v>11</v>
      </c>
      <c r="Y13" s="2">
        <v>512</v>
      </c>
      <c r="Z13" s="2">
        <v>0.60629999999999995</v>
      </c>
      <c r="AA13" s="2">
        <v>6049.5</v>
      </c>
      <c r="AB13" s="2">
        <v>0.87450000000000006</v>
      </c>
      <c r="AC13" s="2">
        <v>684</v>
      </c>
      <c r="AD13" s="2">
        <v>0.97040000000000004</v>
      </c>
      <c r="AE13" s="2">
        <v>2.96</v>
      </c>
      <c r="AF13" s="2">
        <v>36.380000000000003</v>
      </c>
      <c r="AG13" s="2">
        <v>0.1421</v>
      </c>
      <c r="AH13" s="2" t="s">
        <v>53</v>
      </c>
    </row>
  </sheetData>
  <autoFilter ref="A1:AH13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73"/>
  <sheetViews>
    <sheetView zoomScaleNormal="100" workbookViewId="0">
      <pane ySplit="1" topLeftCell="A2" activePane="bottomLeft" state="frozen"/>
      <selection pane="bottomLeft" sqref="A1:X73"/>
    </sheetView>
  </sheetViews>
  <sheetFormatPr defaultRowHeight="14.5" x14ac:dyDescent="0.35"/>
  <cols>
    <col min="1" max="3" width="10" customWidth="1"/>
    <col min="4" max="4" width="12" customWidth="1"/>
    <col min="5" max="5" width="17" customWidth="1"/>
    <col min="6" max="6" width="13" customWidth="1"/>
    <col min="7" max="7" width="16" customWidth="1"/>
    <col min="8" max="10" width="10" customWidth="1"/>
    <col min="11" max="11" width="18" customWidth="1"/>
    <col min="12" max="12" width="10" customWidth="1"/>
    <col min="13" max="13" width="23" customWidth="1"/>
    <col min="14" max="14" width="21" customWidth="1"/>
    <col min="15" max="15" width="15" customWidth="1"/>
    <col min="16" max="16" width="18" customWidth="1"/>
    <col min="17" max="18" width="15" customWidth="1"/>
    <col min="19" max="19" width="18" customWidth="1"/>
    <col min="20" max="20" width="20" customWidth="1"/>
    <col min="21" max="21" width="16" customWidth="1"/>
    <col min="22" max="22" width="15" customWidth="1"/>
    <col min="23" max="23" width="12" customWidth="1"/>
  </cols>
  <sheetData>
    <row r="1" spans="1:24" ht="30" customHeight="1" x14ac:dyDescent="0.35">
      <c r="A1" s="1" t="s">
        <v>0</v>
      </c>
      <c r="B1" s="1" t="s">
        <v>2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3</v>
      </c>
      <c r="H1" s="1" t="s">
        <v>6</v>
      </c>
      <c r="I1" s="1" t="s">
        <v>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18</v>
      </c>
      <c r="Q1" s="1" t="s">
        <v>19</v>
      </c>
      <c r="R1" s="1" t="s">
        <v>64</v>
      </c>
      <c r="S1" s="1" t="s">
        <v>20</v>
      </c>
      <c r="T1" s="1" t="s">
        <v>65</v>
      </c>
      <c r="U1" s="1" t="s">
        <v>21</v>
      </c>
      <c r="V1" s="1" t="s">
        <v>22</v>
      </c>
      <c r="W1" s="1" t="s">
        <v>13</v>
      </c>
      <c r="X1" s="1" t="s">
        <v>194</v>
      </c>
    </row>
    <row r="2" spans="1:24" x14ac:dyDescent="0.35">
      <c r="A2" s="2" t="s">
        <v>34</v>
      </c>
      <c r="B2" s="2" t="s">
        <v>34</v>
      </c>
      <c r="C2" s="2" t="s">
        <v>66</v>
      </c>
      <c r="D2" s="2" t="s">
        <v>67</v>
      </c>
      <c r="E2" s="3">
        <v>262144</v>
      </c>
      <c r="F2" s="2">
        <v>1</v>
      </c>
      <c r="G2" s="2">
        <v>1</v>
      </c>
      <c r="H2" s="2">
        <v>512</v>
      </c>
      <c r="I2" s="2">
        <v>512</v>
      </c>
      <c r="J2" s="2">
        <v>16</v>
      </c>
      <c r="K2" s="3">
        <v>2048</v>
      </c>
      <c r="L2" s="3">
        <v>1024</v>
      </c>
      <c r="M2" s="2">
        <v>7.0757000000000003</v>
      </c>
      <c r="N2" s="2">
        <v>6.8266999999999998</v>
      </c>
      <c r="O2" s="2">
        <v>0.96479999999999999</v>
      </c>
      <c r="P2" s="2">
        <v>74.099999999999994</v>
      </c>
      <c r="Q2" s="2">
        <v>74.099999999999994</v>
      </c>
      <c r="R2" s="2">
        <v>74.099999999999994</v>
      </c>
      <c r="S2" s="2">
        <v>1</v>
      </c>
      <c r="T2" s="2">
        <v>1</v>
      </c>
      <c r="W2" s="2">
        <v>0.49399999999999999</v>
      </c>
      <c r="X2" s="2" t="s">
        <v>195</v>
      </c>
    </row>
    <row r="3" spans="1:24" x14ac:dyDescent="0.35">
      <c r="A3" s="2" t="s">
        <v>34</v>
      </c>
      <c r="B3" s="2" t="s">
        <v>34</v>
      </c>
      <c r="C3" s="2" t="s">
        <v>68</v>
      </c>
      <c r="D3" s="2" t="s">
        <v>69</v>
      </c>
      <c r="E3" s="3">
        <v>589824</v>
      </c>
      <c r="F3" s="2">
        <v>2</v>
      </c>
      <c r="G3" s="2">
        <v>1</v>
      </c>
      <c r="H3" s="2">
        <v>768</v>
      </c>
      <c r="I3" s="2">
        <v>768</v>
      </c>
      <c r="J3" s="2">
        <v>24</v>
      </c>
      <c r="K3" s="3">
        <v>4608</v>
      </c>
      <c r="L3" s="2">
        <v>456</v>
      </c>
      <c r="M3" s="2">
        <v>16.036000000000001</v>
      </c>
      <c r="N3" s="2">
        <v>15.36</v>
      </c>
      <c r="O3" s="2">
        <v>0.95779999999999998</v>
      </c>
      <c r="P3" s="2">
        <v>73.56</v>
      </c>
      <c r="Q3" s="2">
        <v>73.56</v>
      </c>
      <c r="R3" s="2">
        <v>73.56</v>
      </c>
      <c r="S3" s="2">
        <v>1</v>
      </c>
      <c r="T3" s="2">
        <v>1</v>
      </c>
      <c r="W3" s="2">
        <v>1.3839999999999999</v>
      </c>
      <c r="X3" s="2" t="s">
        <v>195</v>
      </c>
    </row>
    <row r="4" spans="1:24" x14ac:dyDescent="0.35">
      <c r="A4" s="2" t="s">
        <v>34</v>
      </c>
      <c r="B4" s="2" t="s">
        <v>34</v>
      </c>
      <c r="C4" s="2" t="s">
        <v>70</v>
      </c>
      <c r="D4" s="2" t="s">
        <v>71</v>
      </c>
      <c r="E4" s="3">
        <v>1048576</v>
      </c>
      <c r="F4" s="2">
        <v>3</v>
      </c>
      <c r="G4" s="2">
        <v>1</v>
      </c>
      <c r="H4" s="3">
        <v>1024</v>
      </c>
      <c r="I4" s="3">
        <v>1024</v>
      </c>
      <c r="J4" s="2">
        <v>32</v>
      </c>
      <c r="K4" s="3">
        <v>8192</v>
      </c>
      <c r="L4" s="2">
        <v>256</v>
      </c>
      <c r="M4" s="2">
        <v>27.784800000000001</v>
      </c>
      <c r="N4" s="2">
        <v>27.306699999999999</v>
      </c>
      <c r="O4" s="2">
        <v>0.98280000000000001</v>
      </c>
      <c r="P4" s="2">
        <v>75.48</v>
      </c>
      <c r="Q4" s="2">
        <v>75.48</v>
      </c>
      <c r="R4" s="2">
        <v>75.48</v>
      </c>
      <c r="S4" s="2">
        <v>1</v>
      </c>
      <c r="T4" s="2">
        <v>1</v>
      </c>
      <c r="W4" s="2">
        <v>2.95</v>
      </c>
      <c r="X4" s="2" t="s">
        <v>195</v>
      </c>
    </row>
    <row r="5" spans="1:24" x14ac:dyDescent="0.35">
      <c r="A5" s="2" t="s">
        <v>34</v>
      </c>
      <c r="B5" s="2" t="s">
        <v>34</v>
      </c>
      <c r="C5" s="2" t="s">
        <v>72</v>
      </c>
      <c r="D5" s="2" t="s">
        <v>73</v>
      </c>
      <c r="E5" s="3">
        <v>2359296</v>
      </c>
      <c r="F5" s="2">
        <v>4</v>
      </c>
      <c r="G5" s="2">
        <v>1</v>
      </c>
      <c r="H5" s="3">
        <v>3072</v>
      </c>
      <c r="I5" s="2">
        <v>768</v>
      </c>
      <c r="J5" s="2">
        <v>24</v>
      </c>
      <c r="K5" s="3">
        <v>18432</v>
      </c>
      <c r="L5" s="2">
        <v>114</v>
      </c>
      <c r="M5" s="2">
        <v>63.317900000000002</v>
      </c>
      <c r="N5" s="2">
        <v>61.44</v>
      </c>
      <c r="O5" s="2">
        <v>0.97030000000000005</v>
      </c>
      <c r="P5" s="2">
        <v>74.52</v>
      </c>
      <c r="Q5" s="2">
        <v>74.52</v>
      </c>
      <c r="R5" s="2">
        <v>74.52</v>
      </c>
      <c r="S5" s="2">
        <v>1</v>
      </c>
      <c r="T5" s="2">
        <v>1</v>
      </c>
      <c r="W5" s="2">
        <v>3.28</v>
      </c>
      <c r="X5" s="2" t="s">
        <v>195</v>
      </c>
    </row>
    <row r="6" spans="1:24" x14ac:dyDescent="0.35">
      <c r="A6" s="2" t="s">
        <v>34</v>
      </c>
      <c r="B6" s="2" t="s">
        <v>34</v>
      </c>
      <c r="C6" s="2" t="s">
        <v>74</v>
      </c>
      <c r="D6" s="2" t="s">
        <v>75</v>
      </c>
      <c r="E6" s="3">
        <v>2359296</v>
      </c>
      <c r="F6" s="2">
        <v>5</v>
      </c>
      <c r="G6" s="2">
        <v>1</v>
      </c>
      <c r="H6" s="2">
        <v>768</v>
      </c>
      <c r="I6" s="3">
        <v>3072</v>
      </c>
      <c r="J6" s="2">
        <v>96</v>
      </c>
      <c r="K6" s="3">
        <v>18432</v>
      </c>
      <c r="L6" s="2">
        <v>114</v>
      </c>
      <c r="M6" s="2">
        <v>63.812800000000003</v>
      </c>
      <c r="N6" s="2">
        <v>61.44</v>
      </c>
      <c r="O6" s="2">
        <v>0.96279999999999999</v>
      </c>
      <c r="P6" s="2">
        <v>73.94</v>
      </c>
      <c r="Q6" s="2">
        <v>73.94</v>
      </c>
      <c r="R6" s="2">
        <v>73.94</v>
      </c>
      <c r="S6" s="2">
        <v>1</v>
      </c>
      <c r="T6" s="2">
        <v>1</v>
      </c>
      <c r="W6" s="2">
        <v>1.978</v>
      </c>
      <c r="X6" s="2" t="s">
        <v>195</v>
      </c>
    </row>
    <row r="7" spans="1:24" x14ac:dyDescent="0.35">
      <c r="A7" s="2" t="s">
        <v>34</v>
      </c>
      <c r="B7" s="2" t="s">
        <v>34</v>
      </c>
      <c r="C7" s="2" t="s">
        <v>76</v>
      </c>
      <c r="D7" s="2" t="s">
        <v>77</v>
      </c>
      <c r="E7" s="3">
        <v>4194304</v>
      </c>
      <c r="F7" s="2">
        <v>6</v>
      </c>
      <c r="G7" s="2">
        <v>1</v>
      </c>
      <c r="H7" s="3">
        <v>4096</v>
      </c>
      <c r="I7" s="3">
        <v>1024</v>
      </c>
      <c r="J7" s="2">
        <v>32</v>
      </c>
      <c r="K7" s="3">
        <v>32768</v>
      </c>
      <c r="L7" s="2">
        <v>64</v>
      </c>
      <c r="M7" s="2">
        <v>113.5937</v>
      </c>
      <c r="N7" s="2">
        <v>109.22669999999999</v>
      </c>
      <c r="O7" s="2">
        <v>0.96160000000000001</v>
      </c>
      <c r="P7" s="2">
        <v>73.849999999999994</v>
      </c>
      <c r="Q7" s="2">
        <v>73.849999999999994</v>
      </c>
      <c r="R7" s="2">
        <v>73.849999999999994</v>
      </c>
      <c r="S7" s="2">
        <v>1</v>
      </c>
      <c r="T7" s="2">
        <v>1</v>
      </c>
      <c r="W7" s="2">
        <v>0.13100000000000001</v>
      </c>
      <c r="X7" s="2" t="s">
        <v>195</v>
      </c>
    </row>
    <row r="8" spans="1:24" x14ac:dyDescent="0.35">
      <c r="A8" s="2" t="s">
        <v>34</v>
      </c>
      <c r="B8" s="2" t="s">
        <v>34</v>
      </c>
      <c r="C8" s="2" t="s">
        <v>78</v>
      </c>
      <c r="D8" s="2" t="s">
        <v>79</v>
      </c>
      <c r="E8" s="3">
        <v>4194304</v>
      </c>
      <c r="F8" s="2">
        <v>7</v>
      </c>
      <c r="G8" s="2">
        <v>1</v>
      </c>
      <c r="H8" s="3">
        <v>1024</v>
      </c>
      <c r="I8" s="3">
        <v>4096</v>
      </c>
      <c r="J8" s="2">
        <v>128</v>
      </c>
      <c r="K8" s="3">
        <v>32768</v>
      </c>
      <c r="L8" s="2">
        <v>64</v>
      </c>
      <c r="M8" s="2">
        <v>113.0586</v>
      </c>
      <c r="N8" s="2">
        <v>109.22669999999999</v>
      </c>
      <c r="O8" s="2">
        <v>0.96609999999999996</v>
      </c>
      <c r="P8" s="2">
        <v>74.2</v>
      </c>
      <c r="Q8" s="2">
        <v>74.2</v>
      </c>
      <c r="R8" s="2">
        <v>74.2</v>
      </c>
      <c r="S8" s="2">
        <v>1</v>
      </c>
      <c r="T8" s="2">
        <v>1</v>
      </c>
      <c r="W8" s="2">
        <v>0.76900000000000002</v>
      </c>
      <c r="X8" s="2" t="s">
        <v>195</v>
      </c>
    </row>
    <row r="9" spans="1:24" x14ac:dyDescent="0.35">
      <c r="A9" s="2" t="s">
        <v>34</v>
      </c>
      <c r="B9" s="2" t="s">
        <v>34</v>
      </c>
      <c r="C9" s="2" t="s">
        <v>80</v>
      </c>
      <c r="D9" s="2" t="s">
        <v>81</v>
      </c>
      <c r="E9" s="3">
        <v>4194304</v>
      </c>
      <c r="F9" s="2">
        <v>8</v>
      </c>
      <c r="G9" s="2">
        <v>1</v>
      </c>
      <c r="H9" s="3">
        <v>2048</v>
      </c>
      <c r="I9" s="3">
        <v>2048</v>
      </c>
      <c r="J9" s="2">
        <v>64</v>
      </c>
      <c r="K9" s="3">
        <v>32768</v>
      </c>
      <c r="L9" s="2">
        <v>64</v>
      </c>
      <c r="M9" s="2">
        <v>112.6688</v>
      </c>
      <c r="N9" s="2">
        <v>109.22669999999999</v>
      </c>
      <c r="O9" s="2">
        <v>0.96940000000000004</v>
      </c>
      <c r="P9" s="2">
        <v>74.45</v>
      </c>
      <c r="Q9" s="2">
        <v>74.45</v>
      </c>
      <c r="R9" s="2">
        <v>74.45</v>
      </c>
      <c r="S9" s="2">
        <v>1</v>
      </c>
      <c r="T9" s="2">
        <v>1</v>
      </c>
      <c r="W9" s="2">
        <v>2.4670000000000001</v>
      </c>
      <c r="X9" s="2" t="s">
        <v>195</v>
      </c>
    </row>
    <row r="10" spans="1:24" x14ac:dyDescent="0.35">
      <c r="A10" s="2" t="s">
        <v>34</v>
      </c>
      <c r="B10" s="2" t="s">
        <v>34</v>
      </c>
      <c r="C10" s="2" t="s">
        <v>82</v>
      </c>
      <c r="D10" s="2" t="s">
        <v>83</v>
      </c>
      <c r="E10" s="3">
        <v>16777216</v>
      </c>
      <c r="F10" s="2">
        <v>9</v>
      </c>
      <c r="G10" s="2">
        <v>1</v>
      </c>
      <c r="H10" s="3">
        <v>4096</v>
      </c>
      <c r="I10" s="3">
        <v>4096</v>
      </c>
      <c r="J10" s="2">
        <v>128</v>
      </c>
      <c r="K10" s="3">
        <v>131072</v>
      </c>
      <c r="L10" s="2">
        <v>16</v>
      </c>
      <c r="M10" s="2">
        <v>452.42020000000002</v>
      </c>
      <c r="N10" s="2">
        <v>436.9067</v>
      </c>
      <c r="O10" s="2">
        <v>0.9657</v>
      </c>
      <c r="P10" s="2">
        <v>74.17</v>
      </c>
      <c r="Q10" s="2">
        <v>74.17</v>
      </c>
      <c r="R10" s="2">
        <v>74.17</v>
      </c>
      <c r="S10" s="2">
        <v>1</v>
      </c>
      <c r="T10" s="2">
        <v>1</v>
      </c>
      <c r="W10" s="2">
        <v>1.5549999999999999</v>
      </c>
      <c r="X10" s="2" t="s">
        <v>195</v>
      </c>
    </row>
    <row r="11" spans="1:24" x14ac:dyDescent="0.35">
      <c r="A11" s="2" t="s">
        <v>34</v>
      </c>
      <c r="B11" s="2" t="s">
        <v>34</v>
      </c>
      <c r="C11" s="2" t="s">
        <v>84</v>
      </c>
      <c r="D11" s="2" t="s">
        <v>85</v>
      </c>
      <c r="E11" s="3">
        <v>16777216</v>
      </c>
      <c r="F11" s="2">
        <v>10</v>
      </c>
      <c r="G11" s="2">
        <v>1</v>
      </c>
      <c r="H11" s="3">
        <v>8192</v>
      </c>
      <c r="I11" s="3">
        <v>2048</v>
      </c>
      <c r="J11" s="2">
        <v>64</v>
      </c>
      <c r="K11" s="3">
        <v>131072</v>
      </c>
      <c r="L11" s="2">
        <v>16</v>
      </c>
      <c r="M11" s="2">
        <v>453.9778</v>
      </c>
      <c r="N11" s="2">
        <v>436.9067</v>
      </c>
      <c r="O11" s="2">
        <v>0.96240000000000003</v>
      </c>
      <c r="P11" s="2">
        <v>73.91</v>
      </c>
      <c r="Q11" s="2">
        <v>73.91</v>
      </c>
      <c r="R11" s="2">
        <v>73.91</v>
      </c>
      <c r="S11" s="2">
        <v>1</v>
      </c>
      <c r="T11" s="2">
        <v>1</v>
      </c>
      <c r="W11" s="2">
        <v>0.217</v>
      </c>
      <c r="X11" s="2" t="s">
        <v>195</v>
      </c>
    </row>
    <row r="12" spans="1:24" x14ac:dyDescent="0.35">
      <c r="A12" s="2" t="s">
        <v>34</v>
      </c>
      <c r="B12" s="2" t="s">
        <v>34</v>
      </c>
      <c r="C12" s="2" t="s">
        <v>86</v>
      </c>
      <c r="D12" s="2" t="s">
        <v>87</v>
      </c>
      <c r="E12" s="3">
        <v>16777216</v>
      </c>
      <c r="F12" s="2">
        <v>11</v>
      </c>
      <c r="G12" s="2">
        <v>1</v>
      </c>
      <c r="H12" s="3">
        <v>2048</v>
      </c>
      <c r="I12" s="3">
        <v>8192</v>
      </c>
      <c r="J12" s="2">
        <v>256</v>
      </c>
      <c r="K12" s="3">
        <v>131072</v>
      </c>
      <c r="L12" s="2">
        <v>16</v>
      </c>
      <c r="M12" s="2">
        <v>454.70249999999999</v>
      </c>
      <c r="N12" s="2">
        <v>436.9067</v>
      </c>
      <c r="O12" s="2">
        <v>0.96089999999999998</v>
      </c>
      <c r="P12" s="2">
        <v>73.790000000000006</v>
      </c>
      <c r="Q12" s="2">
        <v>73.790000000000006</v>
      </c>
      <c r="R12" s="2">
        <v>73.790000000000006</v>
      </c>
      <c r="S12" s="2">
        <v>1</v>
      </c>
      <c r="T12" s="2">
        <v>1</v>
      </c>
      <c r="W12" s="2">
        <v>2.7360000000000002</v>
      </c>
      <c r="X12" s="2" t="s">
        <v>195</v>
      </c>
    </row>
    <row r="13" spans="1:24" x14ac:dyDescent="0.35">
      <c r="A13" s="2" t="s">
        <v>34</v>
      </c>
      <c r="B13" s="2" t="s">
        <v>34</v>
      </c>
      <c r="C13" s="2" t="s">
        <v>88</v>
      </c>
      <c r="F13" s="2">
        <v>12</v>
      </c>
      <c r="G13" s="2">
        <v>1</v>
      </c>
      <c r="O13" s="2">
        <v>0.96589999999999998</v>
      </c>
      <c r="P13" s="2">
        <v>74.180000000000007</v>
      </c>
      <c r="S13" s="2">
        <v>1</v>
      </c>
      <c r="T13" s="2">
        <v>1</v>
      </c>
      <c r="X13" s="2" t="s">
        <v>195</v>
      </c>
    </row>
    <row r="14" spans="1:24" x14ac:dyDescent="0.35">
      <c r="A14" s="2" t="s">
        <v>37</v>
      </c>
      <c r="B14" s="2" t="s">
        <v>38</v>
      </c>
      <c r="C14" s="2" t="s">
        <v>66</v>
      </c>
      <c r="D14" s="2" t="s">
        <v>67</v>
      </c>
      <c r="E14" s="3">
        <v>262144</v>
      </c>
      <c r="F14" s="2">
        <v>1</v>
      </c>
      <c r="G14" s="2">
        <v>2</v>
      </c>
      <c r="H14" s="2">
        <v>512</v>
      </c>
      <c r="I14" s="2">
        <v>512</v>
      </c>
      <c r="J14" s="2">
        <v>16</v>
      </c>
      <c r="K14" s="3">
        <v>1024</v>
      </c>
      <c r="L14" s="3">
        <v>2048</v>
      </c>
      <c r="M14" s="2">
        <v>3.5337999999999998</v>
      </c>
      <c r="N14" s="2">
        <v>3.4133</v>
      </c>
      <c r="O14" s="2">
        <v>0.96589999999999998</v>
      </c>
      <c r="P14" s="2">
        <v>148.36000000000001</v>
      </c>
      <c r="Q14" s="2">
        <v>74.180000000000007</v>
      </c>
      <c r="R14" s="2">
        <v>102</v>
      </c>
      <c r="S14" s="2">
        <v>2.0023</v>
      </c>
      <c r="T14" s="2">
        <v>0.49940000000000001</v>
      </c>
      <c r="U14" s="2">
        <v>2</v>
      </c>
      <c r="V14" s="2">
        <v>100.11</v>
      </c>
      <c r="W14" s="2">
        <v>1.587</v>
      </c>
      <c r="X14" s="2" t="s">
        <v>195</v>
      </c>
    </row>
    <row r="15" spans="1:24" x14ac:dyDescent="0.35">
      <c r="A15" s="2" t="s">
        <v>37</v>
      </c>
      <c r="B15" s="2" t="s">
        <v>38</v>
      </c>
      <c r="C15" s="2" t="s">
        <v>68</v>
      </c>
      <c r="D15" s="2" t="s">
        <v>69</v>
      </c>
      <c r="E15" s="3">
        <v>589824</v>
      </c>
      <c r="F15" s="2">
        <v>2</v>
      </c>
      <c r="G15" s="2">
        <v>2</v>
      </c>
      <c r="H15" s="2">
        <v>768</v>
      </c>
      <c r="I15" s="2">
        <v>768</v>
      </c>
      <c r="J15" s="2">
        <v>24</v>
      </c>
      <c r="K15" s="3">
        <v>2304</v>
      </c>
      <c r="L15" s="2">
        <v>911</v>
      </c>
      <c r="M15" s="2">
        <v>7.8966000000000003</v>
      </c>
      <c r="N15" s="2">
        <v>7.68</v>
      </c>
      <c r="O15" s="2">
        <v>0.97260000000000002</v>
      </c>
      <c r="P15" s="2">
        <v>149.38999999999999</v>
      </c>
      <c r="Q15" s="2">
        <v>74.69</v>
      </c>
      <c r="R15" s="2">
        <v>102.7</v>
      </c>
      <c r="S15" s="2">
        <v>2.0306999999999999</v>
      </c>
      <c r="T15" s="2">
        <v>0.4924</v>
      </c>
      <c r="U15" s="2">
        <v>2</v>
      </c>
      <c r="V15" s="2">
        <v>101.54</v>
      </c>
      <c r="W15" s="2">
        <v>0.65900000000000003</v>
      </c>
      <c r="X15" s="2" t="s">
        <v>195</v>
      </c>
    </row>
    <row r="16" spans="1:24" x14ac:dyDescent="0.35">
      <c r="A16" s="2" t="s">
        <v>37</v>
      </c>
      <c r="B16" s="2" t="s">
        <v>38</v>
      </c>
      <c r="C16" s="2" t="s">
        <v>70</v>
      </c>
      <c r="D16" s="2" t="s">
        <v>71</v>
      </c>
      <c r="E16" s="3">
        <v>1048576</v>
      </c>
      <c r="F16" s="2">
        <v>3</v>
      </c>
      <c r="G16" s="2">
        <v>2</v>
      </c>
      <c r="H16" s="3">
        <v>1024</v>
      </c>
      <c r="I16" s="3">
        <v>1024</v>
      </c>
      <c r="J16" s="2">
        <v>32</v>
      </c>
      <c r="K16" s="3">
        <v>4096</v>
      </c>
      <c r="L16" s="2">
        <v>512</v>
      </c>
      <c r="M16" s="2">
        <v>14.2399</v>
      </c>
      <c r="N16" s="2">
        <v>13.6533</v>
      </c>
      <c r="O16" s="2">
        <v>0.95879999999999999</v>
      </c>
      <c r="P16" s="2">
        <v>147.27000000000001</v>
      </c>
      <c r="Q16" s="2">
        <v>73.64</v>
      </c>
      <c r="R16" s="2">
        <v>101.25</v>
      </c>
      <c r="S16" s="2">
        <v>1.9512</v>
      </c>
      <c r="T16" s="2">
        <v>0.51249999999999996</v>
      </c>
      <c r="U16" s="2">
        <v>2</v>
      </c>
      <c r="V16" s="2">
        <v>97.56</v>
      </c>
      <c r="W16" s="2">
        <v>0.28000000000000003</v>
      </c>
      <c r="X16" s="2" t="s">
        <v>195</v>
      </c>
    </row>
    <row r="17" spans="1:24" x14ac:dyDescent="0.35">
      <c r="A17" s="2" t="s">
        <v>37</v>
      </c>
      <c r="B17" s="2" t="s">
        <v>38</v>
      </c>
      <c r="C17" s="2" t="s">
        <v>72</v>
      </c>
      <c r="D17" s="2" t="s">
        <v>73</v>
      </c>
      <c r="E17" s="3">
        <v>2359296</v>
      </c>
      <c r="F17" s="2">
        <v>4</v>
      </c>
      <c r="G17" s="2">
        <v>2</v>
      </c>
      <c r="H17" s="3">
        <v>3072</v>
      </c>
      <c r="I17" s="2">
        <v>768</v>
      </c>
      <c r="J17" s="2">
        <v>24</v>
      </c>
      <c r="K17" s="3">
        <v>9216</v>
      </c>
      <c r="L17" s="2">
        <v>228</v>
      </c>
      <c r="M17" s="2">
        <v>31.994599999999998</v>
      </c>
      <c r="N17" s="2">
        <v>30.72</v>
      </c>
      <c r="O17" s="2">
        <v>0.96020000000000005</v>
      </c>
      <c r="P17" s="2">
        <v>147.47999999999999</v>
      </c>
      <c r="Q17" s="2">
        <v>73.739999999999995</v>
      </c>
      <c r="R17" s="2">
        <v>101.39</v>
      </c>
      <c r="S17" s="2">
        <v>1.9790000000000001</v>
      </c>
      <c r="T17" s="2">
        <v>0.50529999999999997</v>
      </c>
      <c r="U17" s="2">
        <v>2</v>
      </c>
      <c r="V17" s="2">
        <v>98.95</v>
      </c>
      <c r="W17" s="2">
        <v>1.1759999999999999</v>
      </c>
      <c r="X17" s="2" t="s">
        <v>195</v>
      </c>
    </row>
    <row r="18" spans="1:24" x14ac:dyDescent="0.35">
      <c r="A18" s="2" t="s">
        <v>37</v>
      </c>
      <c r="B18" s="2" t="s">
        <v>38</v>
      </c>
      <c r="C18" s="2" t="s">
        <v>74</v>
      </c>
      <c r="D18" s="2" t="s">
        <v>75</v>
      </c>
      <c r="E18" s="3">
        <v>2359296</v>
      </c>
      <c r="F18" s="2">
        <v>5</v>
      </c>
      <c r="G18" s="2">
        <v>2</v>
      </c>
      <c r="H18" s="2">
        <v>768</v>
      </c>
      <c r="I18" s="3">
        <v>3072</v>
      </c>
      <c r="J18" s="2">
        <v>96</v>
      </c>
      <c r="K18" s="3">
        <v>9216</v>
      </c>
      <c r="L18" s="2">
        <v>228</v>
      </c>
      <c r="M18" s="2">
        <v>31.870200000000001</v>
      </c>
      <c r="N18" s="2">
        <v>30.72</v>
      </c>
      <c r="O18" s="2">
        <v>0.96389999999999998</v>
      </c>
      <c r="P18" s="2">
        <v>148.06</v>
      </c>
      <c r="Q18" s="2">
        <v>74.03</v>
      </c>
      <c r="R18" s="2">
        <v>101.79</v>
      </c>
      <c r="S18" s="2">
        <v>2.0023</v>
      </c>
      <c r="T18" s="2">
        <v>0.49940000000000001</v>
      </c>
      <c r="U18" s="2">
        <v>2</v>
      </c>
      <c r="V18" s="2">
        <v>100.11</v>
      </c>
      <c r="W18" s="2">
        <v>0.56399999999999995</v>
      </c>
      <c r="X18" s="2" t="s">
        <v>195</v>
      </c>
    </row>
    <row r="19" spans="1:24" x14ac:dyDescent="0.35">
      <c r="A19" s="2" t="s">
        <v>37</v>
      </c>
      <c r="B19" s="2" t="s">
        <v>38</v>
      </c>
      <c r="C19" s="2" t="s">
        <v>76</v>
      </c>
      <c r="D19" s="2" t="s">
        <v>77</v>
      </c>
      <c r="E19" s="3">
        <v>4194304</v>
      </c>
      <c r="F19" s="2">
        <v>6</v>
      </c>
      <c r="G19" s="2">
        <v>2</v>
      </c>
      <c r="H19" s="3">
        <v>4096</v>
      </c>
      <c r="I19" s="3">
        <v>1024</v>
      </c>
      <c r="J19" s="2">
        <v>32</v>
      </c>
      <c r="K19" s="3">
        <v>16384</v>
      </c>
      <c r="L19" s="2">
        <v>128</v>
      </c>
      <c r="M19" s="2">
        <v>56.248699999999999</v>
      </c>
      <c r="N19" s="2">
        <v>54.613300000000002</v>
      </c>
      <c r="O19" s="2">
        <v>0.97089999999999999</v>
      </c>
      <c r="P19" s="2">
        <v>149.13</v>
      </c>
      <c r="Q19" s="2">
        <v>74.569999999999993</v>
      </c>
      <c r="R19" s="2">
        <v>102.53</v>
      </c>
      <c r="S19" s="2">
        <v>2.0194999999999999</v>
      </c>
      <c r="T19" s="2">
        <v>0.49519999999999997</v>
      </c>
      <c r="U19" s="2">
        <v>2</v>
      </c>
      <c r="V19" s="2">
        <v>100.97</v>
      </c>
      <c r="W19" s="2">
        <v>1.65</v>
      </c>
      <c r="X19" s="2" t="s">
        <v>195</v>
      </c>
    </row>
    <row r="20" spans="1:24" x14ac:dyDescent="0.35">
      <c r="A20" s="2" t="s">
        <v>37</v>
      </c>
      <c r="B20" s="2" t="s">
        <v>38</v>
      </c>
      <c r="C20" s="2" t="s">
        <v>78</v>
      </c>
      <c r="D20" s="2" t="s">
        <v>79</v>
      </c>
      <c r="E20" s="3">
        <v>4194304</v>
      </c>
      <c r="F20" s="2">
        <v>7</v>
      </c>
      <c r="G20" s="2">
        <v>2</v>
      </c>
      <c r="H20" s="3">
        <v>1024</v>
      </c>
      <c r="I20" s="3">
        <v>4096</v>
      </c>
      <c r="J20" s="2">
        <v>128</v>
      </c>
      <c r="K20" s="3">
        <v>16384</v>
      </c>
      <c r="L20" s="2">
        <v>128</v>
      </c>
      <c r="M20" s="2">
        <v>56.590200000000003</v>
      </c>
      <c r="N20" s="2">
        <v>54.613300000000002</v>
      </c>
      <c r="O20" s="2">
        <v>0.96509999999999996</v>
      </c>
      <c r="P20" s="2">
        <v>148.22999999999999</v>
      </c>
      <c r="Q20" s="2">
        <v>74.12</v>
      </c>
      <c r="R20" s="2">
        <v>101.91</v>
      </c>
      <c r="S20" s="2">
        <v>1.9978</v>
      </c>
      <c r="T20" s="2">
        <v>0.50049999999999994</v>
      </c>
      <c r="U20" s="2">
        <v>2</v>
      </c>
      <c r="V20" s="2">
        <v>99.89</v>
      </c>
      <c r="W20" s="2">
        <v>0.69199999999999995</v>
      </c>
      <c r="X20" s="2" t="s">
        <v>195</v>
      </c>
    </row>
    <row r="21" spans="1:24" x14ac:dyDescent="0.35">
      <c r="A21" s="2" t="s">
        <v>37</v>
      </c>
      <c r="B21" s="2" t="s">
        <v>38</v>
      </c>
      <c r="C21" s="2" t="s">
        <v>80</v>
      </c>
      <c r="D21" s="2" t="s">
        <v>81</v>
      </c>
      <c r="E21" s="3">
        <v>4194304</v>
      </c>
      <c r="F21" s="2">
        <v>8</v>
      </c>
      <c r="G21" s="2">
        <v>2</v>
      </c>
      <c r="H21" s="3">
        <v>2048</v>
      </c>
      <c r="I21" s="3">
        <v>2048</v>
      </c>
      <c r="J21" s="2">
        <v>64</v>
      </c>
      <c r="K21" s="3">
        <v>16384</v>
      </c>
      <c r="L21" s="2">
        <v>128</v>
      </c>
      <c r="M21" s="2">
        <v>57.058</v>
      </c>
      <c r="N21" s="2">
        <v>54.613300000000002</v>
      </c>
      <c r="O21" s="2">
        <v>0.95720000000000005</v>
      </c>
      <c r="P21" s="2">
        <v>147.02000000000001</v>
      </c>
      <c r="Q21" s="2">
        <v>73.510000000000005</v>
      </c>
      <c r="R21" s="2">
        <v>101.08</v>
      </c>
      <c r="S21" s="2">
        <v>1.9745999999999999</v>
      </c>
      <c r="T21" s="2">
        <v>0.50639999999999996</v>
      </c>
      <c r="U21" s="2">
        <v>2</v>
      </c>
      <c r="V21" s="2">
        <v>98.73</v>
      </c>
      <c r="W21" s="2">
        <v>1.7010000000000001</v>
      </c>
      <c r="X21" s="2" t="s">
        <v>195</v>
      </c>
    </row>
    <row r="22" spans="1:24" x14ac:dyDescent="0.35">
      <c r="A22" s="2" t="s">
        <v>37</v>
      </c>
      <c r="B22" s="2" t="s">
        <v>38</v>
      </c>
      <c r="C22" s="2" t="s">
        <v>82</v>
      </c>
      <c r="D22" s="2" t="s">
        <v>83</v>
      </c>
      <c r="E22" s="3">
        <v>16777216</v>
      </c>
      <c r="F22" s="2">
        <v>9</v>
      </c>
      <c r="G22" s="2">
        <v>2</v>
      </c>
      <c r="H22" s="3">
        <v>4096</v>
      </c>
      <c r="I22" s="3">
        <v>4096</v>
      </c>
      <c r="J22" s="2">
        <v>128</v>
      </c>
      <c r="K22" s="3">
        <v>65536</v>
      </c>
      <c r="L22" s="2">
        <v>32</v>
      </c>
      <c r="M22" s="2">
        <v>223.9066</v>
      </c>
      <c r="N22" s="2">
        <v>218.45330000000001</v>
      </c>
      <c r="O22" s="2">
        <v>0.97560000000000002</v>
      </c>
      <c r="P22" s="2">
        <v>149.86000000000001</v>
      </c>
      <c r="Q22" s="2">
        <v>74.930000000000007</v>
      </c>
      <c r="R22" s="2">
        <v>103.03</v>
      </c>
      <c r="S22" s="2">
        <v>2.0206</v>
      </c>
      <c r="T22" s="2">
        <v>0.49490000000000001</v>
      </c>
      <c r="U22" s="2">
        <v>2</v>
      </c>
      <c r="V22" s="2">
        <v>101.03</v>
      </c>
      <c r="W22" s="2">
        <v>1.917</v>
      </c>
      <c r="X22" s="2" t="s">
        <v>195</v>
      </c>
    </row>
    <row r="23" spans="1:24" x14ac:dyDescent="0.35">
      <c r="A23" s="2" t="s">
        <v>37</v>
      </c>
      <c r="B23" s="2" t="s">
        <v>38</v>
      </c>
      <c r="C23" s="2" t="s">
        <v>84</v>
      </c>
      <c r="D23" s="2" t="s">
        <v>85</v>
      </c>
      <c r="E23" s="3">
        <v>16777216</v>
      </c>
      <c r="F23" s="2">
        <v>10</v>
      </c>
      <c r="G23" s="2">
        <v>2</v>
      </c>
      <c r="H23" s="3">
        <v>8192</v>
      </c>
      <c r="I23" s="3">
        <v>2048</v>
      </c>
      <c r="J23" s="2">
        <v>64</v>
      </c>
      <c r="K23" s="3">
        <v>65536</v>
      </c>
      <c r="L23" s="2">
        <v>32</v>
      </c>
      <c r="M23" s="2">
        <v>226.73570000000001</v>
      </c>
      <c r="N23" s="2">
        <v>218.45330000000001</v>
      </c>
      <c r="O23" s="2">
        <v>0.96350000000000002</v>
      </c>
      <c r="P23" s="2">
        <v>147.99</v>
      </c>
      <c r="Q23" s="2">
        <v>73.989999999999995</v>
      </c>
      <c r="R23" s="2">
        <v>101.74</v>
      </c>
      <c r="S23" s="2">
        <v>2.0022000000000002</v>
      </c>
      <c r="T23" s="2">
        <v>0.49940000000000001</v>
      </c>
      <c r="U23" s="2">
        <v>2</v>
      </c>
      <c r="V23" s="2">
        <v>100.11</v>
      </c>
      <c r="W23" s="2">
        <v>1.329</v>
      </c>
      <c r="X23" s="2" t="s">
        <v>195</v>
      </c>
    </row>
    <row r="24" spans="1:24" x14ac:dyDescent="0.35">
      <c r="A24" s="2" t="s">
        <v>37</v>
      </c>
      <c r="B24" s="2" t="s">
        <v>38</v>
      </c>
      <c r="C24" s="2" t="s">
        <v>86</v>
      </c>
      <c r="D24" s="2" t="s">
        <v>87</v>
      </c>
      <c r="E24" s="3">
        <v>16777216</v>
      </c>
      <c r="F24" s="2">
        <v>11</v>
      </c>
      <c r="G24" s="2">
        <v>2</v>
      </c>
      <c r="H24" s="3">
        <v>2048</v>
      </c>
      <c r="I24" s="3">
        <v>8192</v>
      </c>
      <c r="J24" s="2">
        <v>256</v>
      </c>
      <c r="K24" s="3">
        <v>65536</v>
      </c>
      <c r="L24" s="2">
        <v>32</v>
      </c>
      <c r="M24" s="2">
        <v>225.10550000000001</v>
      </c>
      <c r="N24" s="2">
        <v>218.45330000000001</v>
      </c>
      <c r="O24" s="2">
        <v>0.97040000000000004</v>
      </c>
      <c r="P24" s="2">
        <v>149.06</v>
      </c>
      <c r="Q24" s="2">
        <v>74.53</v>
      </c>
      <c r="R24" s="2">
        <v>102.48</v>
      </c>
      <c r="S24" s="2">
        <v>2.02</v>
      </c>
      <c r="T24" s="2">
        <v>0.49509999999999998</v>
      </c>
      <c r="U24" s="2">
        <v>2</v>
      </c>
      <c r="V24" s="2">
        <v>101</v>
      </c>
      <c r="W24" s="2">
        <v>9.9000000000000005E-2</v>
      </c>
      <c r="X24" s="2" t="s">
        <v>195</v>
      </c>
    </row>
    <row r="25" spans="1:24" x14ac:dyDescent="0.35">
      <c r="A25" s="2" t="s">
        <v>37</v>
      </c>
      <c r="B25" s="2" t="s">
        <v>38</v>
      </c>
      <c r="C25" s="2" t="s">
        <v>88</v>
      </c>
      <c r="F25" s="2">
        <v>12</v>
      </c>
      <c r="G25" s="2">
        <v>2</v>
      </c>
      <c r="O25" s="2">
        <v>0.96579999999999999</v>
      </c>
      <c r="P25" s="2">
        <v>148.35</v>
      </c>
      <c r="S25" s="2">
        <v>1.9999</v>
      </c>
      <c r="T25" s="2">
        <v>0.5</v>
      </c>
      <c r="U25" s="2">
        <v>2</v>
      </c>
      <c r="V25" s="2">
        <v>99.99</v>
      </c>
      <c r="X25" s="2" t="s">
        <v>195</v>
      </c>
    </row>
    <row r="26" spans="1:24" x14ac:dyDescent="0.35">
      <c r="A26" s="2" t="s">
        <v>37</v>
      </c>
      <c r="B26" s="2" t="s">
        <v>40</v>
      </c>
      <c r="C26" s="2" t="s">
        <v>66</v>
      </c>
      <c r="D26" s="2" t="s">
        <v>67</v>
      </c>
      <c r="E26" s="3">
        <v>262144</v>
      </c>
      <c r="F26" s="2">
        <v>1</v>
      </c>
      <c r="G26" s="2">
        <v>3</v>
      </c>
      <c r="H26" s="2">
        <v>512</v>
      </c>
      <c r="I26" s="2">
        <v>512</v>
      </c>
      <c r="J26" s="2">
        <v>16</v>
      </c>
      <c r="K26" s="2">
        <v>512</v>
      </c>
      <c r="L26" s="3">
        <v>4096</v>
      </c>
      <c r="M26" s="2">
        <v>1.8181</v>
      </c>
      <c r="N26" s="2">
        <v>1.7067000000000001</v>
      </c>
      <c r="O26" s="2">
        <v>0.93869999999999998</v>
      </c>
      <c r="P26" s="2">
        <v>288.37</v>
      </c>
      <c r="Q26" s="2">
        <v>72.09</v>
      </c>
      <c r="R26" s="2">
        <v>99.13</v>
      </c>
      <c r="S26" s="2">
        <v>3.8917999999999999</v>
      </c>
      <c r="T26" s="2">
        <v>0.25690000000000002</v>
      </c>
      <c r="U26" s="2">
        <v>4</v>
      </c>
      <c r="V26" s="2">
        <v>97.3</v>
      </c>
      <c r="W26" s="2">
        <v>2.141</v>
      </c>
      <c r="X26" s="2" t="s">
        <v>195</v>
      </c>
    </row>
    <row r="27" spans="1:24" x14ac:dyDescent="0.35">
      <c r="A27" s="2" t="s">
        <v>37</v>
      </c>
      <c r="B27" s="2" t="s">
        <v>40</v>
      </c>
      <c r="C27" s="2" t="s">
        <v>68</v>
      </c>
      <c r="D27" s="2" t="s">
        <v>69</v>
      </c>
      <c r="E27" s="3">
        <v>589824</v>
      </c>
      <c r="F27" s="2">
        <v>2</v>
      </c>
      <c r="G27" s="2">
        <v>3</v>
      </c>
      <c r="H27" s="2">
        <v>768</v>
      </c>
      <c r="I27" s="2">
        <v>768</v>
      </c>
      <c r="J27" s="2">
        <v>24</v>
      </c>
      <c r="K27" s="3">
        <v>1152</v>
      </c>
      <c r="L27" s="3">
        <v>1821</v>
      </c>
      <c r="M27" s="2">
        <v>4.0381</v>
      </c>
      <c r="N27" s="2">
        <v>3.84</v>
      </c>
      <c r="O27" s="2">
        <v>0.95089999999999997</v>
      </c>
      <c r="P27" s="2">
        <v>292.13</v>
      </c>
      <c r="Q27" s="2">
        <v>73.03</v>
      </c>
      <c r="R27" s="2">
        <v>100.42</v>
      </c>
      <c r="S27" s="2">
        <v>3.9712000000000001</v>
      </c>
      <c r="T27" s="2">
        <v>0.25180000000000002</v>
      </c>
      <c r="U27" s="2">
        <v>4</v>
      </c>
      <c r="V27" s="2">
        <v>99.28</v>
      </c>
      <c r="W27" s="2">
        <v>2.4630000000000001</v>
      </c>
      <c r="X27" s="2" t="s">
        <v>195</v>
      </c>
    </row>
    <row r="28" spans="1:24" x14ac:dyDescent="0.35">
      <c r="A28" s="2" t="s">
        <v>37</v>
      </c>
      <c r="B28" s="2" t="s">
        <v>40</v>
      </c>
      <c r="C28" s="2" t="s">
        <v>70</v>
      </c>
      <c r="D28" s="2" t="s">
        <v>71</v>
      </c>
      <c r="E28" s="3">
        <v>1048576</v>
      </c>
      <c r="F28" s="2">
        <v>3</v>
      </c>
      <c r="G28" s="2">
        <v>3</v>
      </c>
      <c r="H28" s="3">
        <v>1024</v>
      </c>
      <c r="I28" s="3">
        <v>1024</v>
      </c>
      <c r="J28" s="2">
        <v>32</v>
      </c>
      <c r="K28" s="3">
        <v>2048</v>
      </c>
      <c r="L28" s="3">
        <v>1024</v>
      </c>
      <c r="M28" s="2">
        <v>7.1749999999999998</v>
      </c>
      <c r="N28" s="2">
        <v>6.8266999999999998</v>
      </c>
      <c r="O28" s="2">
        <v>0.95140000000000002</v>
      </c>
      <c r="P28" s="2">
        <v>292.27999999999997</v>
      </c>
      <c r="Q28" s="2">
        <v>73.069999999999993</v>
      </c>
      <c r="R28" s="2">
        <v>100.47</v>
      </c>
      <c r="S28" s="2">
        <v>3.8723999999999998</v>
      </c>
      <c r="T28" s="2">
        <v>0.25819999999999999</v>
      </c>
      <c r="U28" s="2">
        <v>4</v>
      </c>
      <c r="V28" s="2">
        <v>96.81</v>
      </c>
      <c r="W28" s="2">
        <v>0.32300000000000001</v>
      </c>
      <c r="X28" s="2" t="s">
        <v>195</v>
      </c>
    </row>
    <row r="29" spans="1:24" x14ac:dyDescent="0.35">
      <c r="A29" s="2" t="s">
        <v>37</v>
      </c>
      <c r="B29" s="2" t="s">
        <v>40</v>
      </c>
      <c r="C29" s="2" t="s">
        <v>72</v>
      </c>
      <c r="D29" s="2" t="s">
        <v>73</v>
      </c>
      <c r="E29" s="3">
        <v>2359296</v>
      </c>
      <c r="F29" s="2">
        <v>4</v>
      </c>
      <c r="G29" s="2">
        <v>3</v>
      </c>
      <c r="H29" s="3">
        <v>3072</v>
      </c>
      <c r="I29" s="2">
        <v>768</v>
      </c>
      <c r="J29" s="2">
        <v>24</v>
      </c>
      <c r="K29" s="3">
        <v>4608</v>
      </c>
      <c r="L29" s="2">
        <v>456</v>
      </c>
      <c r="M29" s="2">
        <v>16.0976</v>
      </c>
      <c r="N29" s="2">
        <v>15.36</v>
      </c>
      <c r="O29" s="2">
        <v>0.95420000000000005</v>
      </c>
      <c r="P29" s="2">
        <v>293.12</v>
      </c>
      <c r="Q29" s="2">
        <v>73.28</v>
      </c>
      <c r="R29" s="2">
        <v>100.76</v>
      </c>
      <c r="S29" s="2">
        <v>3.9333999999999998</v>
      </c>
      <c r="T29" s="2">
        <v>0.25419999999999998</v>
      </c>
      <c r="U29" s="2">
        <v>4</v>
      </c>
      <c r="V29" s="2">
        <v>98.33</v>
      </c>
      <c r="W29" s="2">
        <v>0.96899999999999997</v>
      </c>
      <c r="X29" s="2" t="s">
        <v>195</v>
      </c>
    </row>
    <row r="30" spans="1:24" x14ac:dyDescent="0.35">
      <c r="A30" s="2" t="s">
        <v>37</v>
      </c>
      <c r="B30" s="2" t="s">
        <v>40</v>
      </c>
      <c r="C30" s="2" t="s">
        <v>74</v>
      </c>
      <c r="D30" s="2" t="s">
        <v>75</v>
      </c>
      <c r="E30" s="3">
        <v>2359296</v>
      </c>
      <c r="F30" s="2">
        <v>5</v>
      </c>
      <c r="G30" s="2">
        <v>3</v>
      </c>
      <c r="H30" s="2">
        <v>768</v>
      </c>
      <c r="I30" s="3">
        <v>3072</v>
      </c>
      <c r="J30" s="2">
        <v>96</v>
      </c>
      <c r="K30" s="3">
        <v>4608</v>
      </c>
      <c r="L30" s="2">
        <v>456</v>
      </c>
      <c r="M30" s="2">
        <v>15.924300000000001</v>
      </c>
      <c r="N30" s="2">
        <v>15.36</v>
      </c>
      <c r="O30" s="2">
        <v>0.96460000000000001</v>
      </c>
      <c r="P30" s="2">
        <v>296.31</v>
      </c>
      <c r="Q30" s="2">
        <v>74.08</v>
      </c>
      <c r="R30" s="2">
        <v>101.86</v>
      </c>
      <c r="S30" s="2">
        <v>4.0072999999999999</v>
      </c>
      <c r="T30" s="2">
        <v>0.2495</v>
      </c>
      <c r="U30" s="2">
        <v>4</v>
      </c>
      <c r="V30" s="2">
        <v>100.18</v>
      </c>
      <c r="W30" s="2">
        <v>0.32700000000000001</v>
      </c>
      <c r="X30" s="2" t="s">
        <v>195</v>
      </c>
    </row>
    <row r="31" spans="1:24" x14ac:dyDescent="0.35">
      <c r="A31" s="2" t="s">
        <v>37</v>
      </c>
      <c r="B31" s="2" t="s">
        <v>40</v>
      </c>
      <c r="C31" s="2" t="s">
        <v>76</v>
      </c>
      <c r="D31" s="2" t="s">
        <v>77</v>
      </c>
      <c r="E31" s="3">
        <v>4194304</v>
      </c>
      <c r="F31" s="2">
        <v>6</v>
      </c>
      <c r="G31" s="2">
        <v>3</v>
      </c>
      <c r="H31" s="3">
        <v>4096</v>
      </c>
      <c r="I31" s="3">
        <v>1024</v>
      </c>
      <c r="J31" s="2">
        <v>32</v>
      </c>
      <c r="K31" s="3">
        <v>8192</v>
      </c>
      <c r="L31" s="2">
        <v>256</v>
      </c>
      <c r="M31" s="2">
        <v>28.4773</v>
      </c>
      <c r="N31" s="2">
        <v>27.306699999999999</v>
      </c>
      <c r="O31" s="2">
        <v>0.95889999999999997</v>
      </c>
      <c r="P31" s="2">
        <v>294.57</v>
      </c>
      <c r="Q31" s="2">
        <v>73.64</v>
      </c>
      <c r="R31" s="2">
        <v>101.26</v>
      </c>
      <c r="S31" s="2">
        <v>3.9889000000000001</v>
      </c>
      <c r="T31" s="2">
        <v>0.25069999999999998</v>
      </c>
      <c r="U31" s="2">
        <v>4</v>
      </c>
      <c r="V31" s="2">
        <v>99.72</v>
      </c>
      <c r="W31" s="2">
        <v>1.7350000000000001</v>
      </c>
      <c r="X31" s="2" t="s">
        <v>195</v>
      </c>
    </row>
    <row r="32" spans="1:24" x14ac:dyDescent="0.35">
      <c r="A32" s="2" t="s">
        <v>37</v>
      </c>
      <c r="B32" s="2" t="s">
        <v>40</v>
      </c>
      <c r="C32" s="2" t="s">
        <v>78</v>
      </c>
      <c r="D32" s="2" t="s">
        <v>79</v>
      </c>
      <c r="E32" s="3">
        <v>4194304</v>
      </c>
      <c r="F32" s="2">
        <v>7</v>
      </c>
      <c r="G32" s="2">
        <v>3</v>
      </c>
      <c r="H32" s="3">
        <v>1024</v>
      </c>
      <c r="I32" s="3">
        <v>4096</v>
      </c>
      <c r="J32" s="2">
        <v>128</v>
      </c>
      <c r="K32" s="3">
        <v>8192</v>
      </c>
      <c r="L32" s="2">
        <v>256</v>
      </c>
      <c r="M32" s="2">
        <v>28.385899999999999</v>
      </c>
      <c r="N32" s="2">
        <v>27.306699999999999</v>
      </c>
      <c r="O32" s="2">
        <v>0.96199999999999997</v>
      </c>
      <c r="P32" s="2">
        <v>295.52</v>
      </c>
      <c r="Q32" s="2">
        <v>73.88</v>
      </c>
      <c r="R32" s="2">
        <v>101.59</v>
      </c>
      <c r="S32" s="2">
        <v>3.9828999999999999</v>
      </c>
      <c r="T32" s="2">
        <v>0.25109999999999999</v>
      </c>
      <c r="U32" s="2">
        <v>4</v>
      </c>
      <c r="V32" s="2">
        <v>99.57</v>
      </c>
      <c r="W32" s="2">
        <v>0.57599999999999996</v>
      </c>
      <c r="X32" s="2" t="s">
        <v>195</v>
      </c>
    </row>
    <row r="33" spans="1:24" x14ac:dyDescent="0.35">
      <c r="A33" s="2" t="s">
        <v>37</v>
      </c>
      <c r="B33" s="2" t="s">
        <v>40</v>
      </c>
      <c r="C33" s="2" t="s">
        <v>80</v>
      </c>
      <c r="D33" s="2" t="s">
        <v>81</v>
      </c>
      <c r="E33" s="3">
        <v>4194304</v>
      </c>
      <c r="F33" s="2">
        <v>8</v>
      </c>
      <c r="G33" s="2">
        <v>3</v>
      </c>
      <c r="H33" s="3">
        <v>2048</v>
      </c>
      <c r="I33" s="3">
        <v>2048</v>
      </c>
      <c r="J33" s="2">
        <v>64</v>
      </c>
      <c r="K33" s="3">
        <v>8192</v>
      </c>
      <c r="L33" s="2">
        <v>256</v>
      </c>
      <c r="M33" s="2">
        <v>28.4299</v>
      </c>
      <c r="N33" s="2">
        <v>27.306699999999999</v>
      </c>
      <c r="O33" s="2">
        <v>0.96050000000000002</v>
      </c>
      <c r="P33" s="2">
        <v>295.06</v>
      </c>
      <c r="Q33" s="2">
        <v>73.77</v>
      </c>
      <c r="R33" s="2">
        <v>101.43</v>
      </c>
      <c r="S33" s="2">
        <v>3.9630000000000001</v>
      </c>
      <c r="T33" s="2">
        <v>0.25230000000000002</v>
      </c>
      <c r="U33" s="2">
        <v>4</v>
      </c>
      <c r="V33" s="2">
        <v>99.08</v>
      </c>
      <c r="W33" s="2">
        <v>1.2170000000000001</v>
      </c>
      <c r="X33" s="2" t="s">
        <v>195</v>
      </c>
    </row>
    <row r="34" spans="1:24" x14ac:dyDescent="0.35">
      <c r="A34" s="2" t="s">
        <v>37</v>
      </c>
      <c r="B34" s="2" t="s">
        <v>40</v>
      </c>
      <c r="C34" s="2" t="s">
        <v>82</v>
      </c>
      <c r="D34" s="2" t="s">
        <v>83</v>
      </c>
      <c r="E34" s="3">
        <v>16777216</v>
      </c>
      <c r="F34" s="2">
        <v>9</v>
      </c>
      <c r="G34" s="2">
        <v>3</v>
      </c>
      <c r="H34" s="3">
        <v>4096</v>
      </c>
      <c r="I34" s="3">
        <v>4096</v>
      </c>
      <c r="J34" s="2">
        <v>128</v>
      </c>
      <c r="K34" s="3">
        <v>32768</v>
      </c>
      <c r="L34" s="2">
        <v>64</v>
      </c>
      <c r="M34" s="2">
        <v>113.87560000000001</v>
      </c>
      <c r="N34" s="2">
        <v>109.22669999999999</v>
      </c>
      <c r="O34" s="2">
        <v>0.95920000000000005</v>
      </c>
      <c r="P34" s="2">
        <v>294.66000000000003</v>
      </c>
      <c r="Q34" s="2">
        <v>73.66</v>
      </c>
      <c r="R34" s="2">
        <v>101.29</v>
      </c>
      <c r="S34" s="2">
        <v>3.9729000000000001</v>
      </c>
      <c r="T34" s="2">
        <v>0.25169999999999998</v>
      </c>
      <c r="U34" s="2">
        <v>4</v>
      </c>
      <c r="V34" s="2">
        <v>99.32</v>
      </c>
      <c r="W34" s="2">
        <v>0.876</v>
      </c>
      <c r="X34" s="2" t="s">
        <v>195</v>
      </c>
    </row>
    <row r="35" spans="1:24" x14ac:dyDescent="0.35">
      <c r="A35" s="2" t="s">
        <v>37</v>
      </c>
      <c r="B35" s="2" t="s">
        <v>40</v>
      </c>
      <c r="C35" s="2" t="s">
        <v>84</v>
      </c>
      <c r="D35" s="2" t="s">
        <v>85</v>
      </c>
      <c r="E35" s="3">
        <v>16777216</v>
      </c>
      <c r="F35" s="2">
        <v>10</v>
      </c>
      <c r="G35" s="2">
        <v>3</v>
      </c>
      <c r="H35" s="3">
        <v>8192</v>
      </c>
      <c r="I35" s="3">
        <v>2048</v>
      </c>
      <c r="J35" s="2">
        <v>64</v>
      </c>
      <c r="K35" s="3">
        <v>32768</v>
      </c>
      <c r="L35" s="2">
        <v>64</v>
      </c>
      <c r="M35" s="2">
        <v>113.8514</v>
      </c>
      <c r="N35" s="2">
        <v>109.22669999999999</v>
      </c>
      <c r="O35" s="2">
        <v>0.95940000000000003</v>
      </c>
      <c r="P35" s="2">
        <v>294.72000000000003</v>
      </c>
      <c r="Q35" s="2">
        <v>73.680000000000007</v>
      </c>
      <c r="R35" s="2">
        <v>101.31</v>
      </c>
      <c r="S35" s="2">
        <v>3.9874999999999998</v>
      </c>
      <c r="T35" s="2">
        <v>0.25080000000000002</v>
      </c>
      <c r="U35" s="2">
        <v>4</v>
      </c>
      <c r="V35" s="2">
        <v>99.69</v>
      </c>
      <c r="W35" s="2">
        <v>0.34399999999999997</v>
      </c>
      <c r="X35" s="2" t="s">
        <v>195</v>
      </c>
    </row>
    <row r="36" spans="1:24" x14ac:dyDescent="0.35">
      <c r="A36" s="2" t="s">
        <v>37</v>
      </c>
      <c r="B36" s="2" t="s">
        <v>40</v>
      </c>
      <c r="C36" s="2" t="s">
        <v>86</v>
      </c>
      <c r="D36" s="2" t="s">
        <v>87</v>
      </c>
      <c r="E36" s="3">
        <v>16777216</v>
      </c>
      <c r="F36" s="2">
        <v>11</v>
      </c>
      <c r="G36" s="2">
        <v>3</v>
      </c>
      <c r="H36" s="3">
        <v>2048</v>
      </c>
      <c r="I36" s="3">
        <v>8192</v>
      </c>
      <c r="J36" s="2">
        <v>256</v>
      </c>
      <c r="K36" s="3">
        <v>32768</v>
      </c>
      <c r="L36" s="2">
        <v>64</v>
      </c>
      <c r="M36" s="2">
        <v>113.20059999999999</v>
      </c>
      <c r="N36" s="2">
        <v>109.22669999999999</v>
      </c>
      <c r="O36" s="2">
        <v>0.96489999999999998</v>
      </c>
      <c r="P36" s="2">
        <v>296.42</v>
      </c>
      <c r="Q36" s="2">
        <v>74.099999999999994</v>
      </c>
      <c r="R36" s="2">
        <v>101.89</v>
      </c>
      <c r="S36" s="2">
        <v>4.0167999999999999</v>
      </c>
      <c r="T36" s="2">
        <v>0.249</v>
      </c>
      <c r="U36" s="2">
        <v>4</v>
      </c>
      <c r="V36" s="2">
        <v>100.42</v>
      </c>
      <c r="W36" s="2">
        <v>0.85699999999999998</v>
      </c>
      <c r="X36" s="2" t="s">
        <v>195</v>
      </c>
    </row>
    <row r="37" spans="1:24" x14ac:dyDescent="0.35">
      <c r="A37" s="2" t="s">
        <v>37</v>
      </c>
      <c r="B37" s="2" t="s">
        <v>40</v>
      </c>
      <c r="C37" s="2" t="s">
        <v>88</v>
      </c>
      <c r="F37" s="2">
        <v>12</v>
      </c>
      <c r="G37" s="2">
        <v>3</v>
      </c>
      <c r="O37" s="2">
        <v>0.95679999999999998</v>
      </c>
      <c r="P37" s="2">
        <v>293.92</v>
      </c>
      <c r="S37" s="2">
        <v>3.9622999999999999</v>
      </c>
      <c r="T37" s="2">
        <v>0.25240000000000001</v>
      </c>
      <c r="U37" s="2">
        <v>4</v>
      </c>
      <c r="V37" s="2">
        <v>99.06</v>
      </c>
      <c r="X37" s="2" t="s">
        <v>195</v>
      </c>
    </row>
    <row r="38" spans="1:24" x14ac:dyDescent="0.35">
      <c r="A38" s="2" t="s">
        <v>37</v>
      </c>
      <c r="B38" s="2" t="s">
        <v>42</v>
      </c>
      <c r="C38" s="2" t="s">
        <v>66</v>
      </c>
      <c r="D38" s="2" t="s">
        <v>67</v>
      </c>
      <c r="E38" s="3">
        <v>262144</v>
      </c>
      <c r="F38" s="2">
        <v>1</v>
      </c>
      <c r="G38" s="2">
        <v>4</v>
      </c>
      <c r="H38" s="2">
        <v>512</v>
      </c>
      <c r="I38" s="2">
        <v>512</v>
      </c>
      <c r="J38" s="2">
        <v>16</v>
      </c>
      <c r="K38" s="2">
        <v>256</v>
      </c>
      <c r="L38" s="3">
        <v>8192</v>
      </c>
      <c r="M38" s="2">
        <v>0.91249999999999998</v>
      </c>
      <c r="N38" s="2">
        <v>0.85329999999999995</v>
      </c>
      <c r="O38" s="2">
        <v>0.93510000000000004</v>
      </c>
      <c r="P38" s="2">
        <v>574.54</v>
      </c>
      <c r="Q38" s="2">
        <v>71.819999999999993</v>
      </c>
      <c r="R38" s="2">
        <v>98.75</v>
      </c>
      <c r="S38" s="2">
        <v>7.7542</v>
      </c>
      <c r="T38" s="2">
        <v>0.129</v>
      </c>
      <c r="U38" s="2">
        <v>8</v>
      </c>
      <c r="V38" s="2">
        <v>96.93</v>
      </c>
      <c r="W38" s="2">
        <v>1.2609999999999999</v>
      </c>
      <c r="X38" s="2" t="s">
        <v>195</v>
      </c>
    </row>
    <row r="39" spans="1:24" x14ac:dyDescent="0.35">
      <c r="A39" s="2" t="s">
        <v>37</v>
      </c>
      <c r="B39" s="2" t="s">
        <v>42</v>
      </c>
      <c r="C39" s="2" t="s">
        <v>68</v>
      </c>
      <c r="D39" s="2" t="s">
        <v>69</v>
      </c>
      <c r="E39" s="3">
        <v>589824</v>
      </c>
      <c r="F39" s="2">
        <v>2</v>
      </c>
      <c r="G39" s="2">
        <v>4</v>
      </c>
      <c r="H39" s="2">
        <v>768</v>
      </c>
      <c r="I39" s="2">
        <v>768</v>
      </c>
      <c r="J39" s="2">
        <v>24</v>
      </c>
      <c r="K39" s="2">
        <v>576</v>
      </c>
      <c r="L39" s="3">
        <v>3641</v>
      </c>
      <c r="M39" s="2">
        <v>2.0398999999999998</v>
      </c>
      <c r="N39" s="2">
        <v>1.92</v>
      </c>
      <c r="O39" s="2">
        <v>0.94120000000000004</v>
      </c>
      <c r="P39" s="2">
        <v>578.28</v>
      </c>
      <c r="Q39" s="2">
        <v>72.290000000000006</v>
      </c>
      <c r="R39" s="2">
        <v>99.39</v>
      </c>
      <c r="S39" s="2">
        <v>7.8612000000000002</v>
      </c>
      <c r="T39" s="2">
        <v>0.12720000000000001</v>
      </c>
      <c r="U39" s="2">
        <v>8</v>
      </c>
      <c r="V39" s="2">
        <v>98.26</v>
      </c>
      <c r="W39" s="2">
        <v>1.0409999999999999</v>
      </c>
      <c r="X39" s="2" t="s">
        <v>195</v>
      </c>
    </row>
    <row r="40" spans="1:24" x14ac:dyDescent="0.35">
      <c r="A40" s="2" t="s">
        <v>37</v>
      </c>
      <c r="B40" s="2" t="s">
        <v>42</v>
      </c>
      <c r="C40" s="2" t="s">
        <v>70</v>
      </c>
      <c r="D40" s="2" t="s">
        <v>71</v>
      </c>
      <c r="E40" s="3">
        <v>1048576</v>
      </c>
      <c r="F40" s="2">
        <v>3</v>
      </c>
      <c r="G40" s="2">
        <v>4</v>
      </c>
      <c r="H40" s="3">
        <v>1024</v>
      </c>
      <c r="I40" s="3">
        <v>1024</v>
      </c>
      <c r="J40" s="2">
        <v>32</v>
      </c>
      <c r="K40" s="3">
        <v>1024</v>
      </c>
      <c r="L40" s="3">
        <v>2048</v>
      </c>
      <c r="M40" s="2">
        <v>3.5752000000000002</v>
      </c>
      <c r="N40" s="2">
        <v>3.4133</v>
      </c>
      <c r="O40" s="2">
        <v>0.95469999999999999</v>
      </c>
      <c r="P40" s="2">
        <v>586.58000000000004</v>
      </c>
      <c r="Q40" s="2">
        <v>73.319999999999993</v>
      </c>
      <c r="R40" s="2">
        <v>100.82</v>
      </c>
      <c r="S40" s="2">
        <v>7.7714999999999996</v>
      </c>
      <c r="T40" s="2">
        <v>0.12870000000000001</v>
      </c>
      <c r="U40" s="2">
        <v>8</v>
      </c>
      <c r="V40" s="2">
        <v>97.14</v>
      </c>
      <c r="W40" s="2">
        <v>1.9490000000000001</v>
      </c>
      <c r="X40" s="2" t="s">
        <v>195</v>
      </c>
    </row>
    <row r="41" spans="1:24" x14ac:dyDescent="0.35">
      <c r="A41" s="2" t="s">
        <v>37</v>
      </c>
      <c r="B41" s="2" t="s">
        <v>42</v>
      </c>
      <c r="C41" s="2" t="s">
        <v>72</v>
      </c>
      <c r="D41" s="2" t="s">
        <v>73</v>
      </c>
      <c r="E41" s="3">
        <v>2359296</v>
      </c>
      <c r="F41" s="2">
        <v>4</v>
      </c>
      <c r="G41" s="2">
        <v>4</v>
      </c>
      <c r="H41" s="3">
        <v>3072</v>
      </c>
      <c r="I41" s="2">
        <v>768</v>
      </c>
      <c r="J41" s="2">
        <v>24</v>
      </c>
      <c r="K41" s="3">
        <v>2304</v>
      </c>
      <c r="L41" s="2">
        <v>911</v>
      </c>
      <c r="M41" s="2">
        <v>8.0447000000000006</v>
      </c>
      <c r="N41" s="2">
        <v>7.68</v>
      </c>
      <c r="O41" s="2">
        <v>0.95469999999999999</v>
      </c>
      <c r="P41" s="2">
        <v>586.54999999999995</v>
      </c>
      <c r="Q41" s="2">
        <v>73.319999999999993</v>
      </c>
      <c r="R41" s="2">
        <v>100.81</v>
      </c>
      <c r="S41" s="2">
        <v>7.8708</v>
      </c>
      <c r="T41" s="2">
        <v>0.12709999999999999</v>
      </c>
      <c r="U41" s="2">
        <v>8</v>
      </c>
      <c r="V41" s="2">
        <v>98.38</v>
      </c>
      <c r="W41" s="2">
        <v>1.738</v>
      </c>
      <c r="X41" s="2" t="s">
        <v>195</v>
      </c>
    </row>
    <row r="42" spans="1:24" x14ac:dyDescent="0.35">
      <c r="A42" s="2" t="s">
        <v>37</v>
      </c>
      <c r="B42" s="2" t="s">
        <v>42</v>
      </c>
      <c r="C42" s="2" t="s">
        <v>74</v>
      </c>
      <c r="D42" s="2" t="s">
        <v>75</v>
      </c>
      <c r="E42" s="3">
        <v>2359296</v>
      </c>
      <c r="F42" s="2">
        <v>5</v>
      </c>
      <c r="G42" s="2">
        <v>4</v>
      </c>
      <c r="H42" s="2">
        <v>768</v>
      </c>
      <c r="I42" s="3">
        <v>3072</v>
      </c>
      <c r="J42" s="2">
        <v>96</v>
      </c>
      <c r="K42" s="3">
        <v>2304</v>
      </c>
      <c r="L42" s="2">
        <v>911</v>
      </c>
      <c r="M42" s="2">
        <v>7.9032999999999998</v>
      </c>
      <c r="N42" s="2">
        <v>7.68</v>
      </c>
      <c r="O42" s="2">
        <v>0.97170000000000001</v>
      </c>
      <c r="P42" s="2">
        <v>597.04</v>
      </c>
      <c r="Q42" s="2">
        <v>74.63</v>
      </c>
      <c r="R42" s="2">
        <v>102.62</v>
      </c>
      <c r="S42" s="2">
        <v>8.0741999999999994</v>
      </c>
      <c r="T42" s="2">
        <v>0.1239</v>
      </c>
      <c r="U42" s="2">
        <v>8</v>
      </c>
      <c r="V42" s="2">
        <v>100.93</v>
      </c>
      <c r="W42" s="2">
        <v>2.4649999999999999</v>
      </c>
      <c r="X42" s="2" t="s">
        <v>195</v>
      </c>
    </row>
    <row r="43" spans="1:24" x14ac:dyDescent="0.35">
      <c r="A43" s="2" t="s">
        <v>37</v>
      </c>
      <c r="B43" s="2" t="s">
        <v>42</v>
      </c>
      <c r="C43" s="2" t="s">
        <v>76</v>
      </c>
      <c r="D43" s="2" t="s">
        <v>77</v>
      </c>
      <c r="E43" s="3">
        <v>4194304</v>
      </c>
      <c r="F43" s="2">
        <v>6</v>
      </c>
      <c r="G43" s="2">
        <v>4</v>
      </c>
      <c r="H43" s="3">
        <v>4096</v>
      </c>
      <c r="I43" s="3">
        <v>1024</v>
      </c>
      <c r="J43" s="2">
        <v>32</v>
      </c>
      <c r="K43" s="3">
        <v>4096</v>
      </c>
      <c r="L43" s="2">
        <v>512</v>
      </c>
      <c r="M43" s="2">
        <v>14.2766</v>
      </c>
      <c r="N43" s="2">
        <v>13.6533</v>
      </c>
      <c r="O43" s="2">
        <v>0.95630000000000004</v>
      </c>
      <c r="P43" s="2">
        <v>587.58000000000004</v>
      </c>
      <c r="Q43" s="2">
        <v>73.45</v>
      </c>
      <c r="R43" s="2">
        <v>100.99</v>
      </c>
      <c r="S43" s="2">
        <v>7.9565999999999999</v>
      </c>
      <c r="T43" s="2">
        <v>0.12570000000000001</v>
      </c>
      <c r="U43" s="2">
        <v>8</v>
      </c>
      <c r="V43" s="2">
        <v>99.46</v>
      </c>
      <c r="W43" s="2">
        <v>0.95399999999999996</v>
      </c>
      <c r="X43" s="2" t="s">
        <v>195</v>
      </c>
    </row>
    <row r="44" spans="1:24" x14ac:dyDescent="0.35">
      <c r="A44" s="2" t="s">
        <v>37</v>
      </c>
      <c r="B44" s="2" t="s">
        <v>42</v>
      </c>
      <c r="C44" s="2" t="s">
        <v>78</v>
      </c>
      <c r="D44" s="2" t="s">
        <v>79</v>
      </c>
      <c r="E44" s="3">
        <v>4194304</v>
      </c>
      <c r="F44" s="2">
        <v>7</v>
      </c>
      <c r="G44" s="2">
        <v>4</v>
      </c>
      <c r="H44" s="3">
        <v>1024</v>
      </c>
      <c r="I44" s="3">
        <v>4096</v>
      </c>
      <c r="J44" s="2">
        <v>128</v>
      </c>
      <c r="K44" s="3">
        <v>4096</v>
      </c>
      <c r="L44" s="2">
        <v>512</v>
      </c>
      <c r="M44" s="2">
        <v>14.176500000000001</v>
      </c>
      <c r="N44" s="2">
        <v>13.6533</v>
      </c>
      <c r="O44" s="2">
        <v>0.96309999999999996</v>
      </c>
      <c r="P44" s="2">
        <v>591.73</v>
      </c>
      <c r="Q44" s="2">
        <v>73.97</v>
      </c>
      <c r="R44" s="2">
        <v>101.7</v>
      </c>
      <c r="S44" s="2">
        <v>7.9751000000000003</v>
      </c>
      <c r="T44" s="2">
        <v>0.12540000000000001</v>
      </c>
      <c r="U44" s="2">
        <v>8</v>
      </c>
      <c r="V44" s="2">
        <v>99.69</v>
      </c>
      <c r="W44" s="2">
        <v>0.61599999999999999</v>
      </c>
      <c r="X44" s="2" t="s">
        <v>195</v>
      </c>
    </row>
    <row r="45" spans="1:24" x14ac:dyDescent="0.35">
      <c r="A45" s="2" t="s">
        <v>37</v>
      </c>
      <c r="B45" s="2" t="s">
        <v>42</v>
      </c>
      <c r="C45" s="2" t="s">
        <v>80</v>
      </c>
      <c r="D45" s="2" t="s">
        <v>81</v>
      </c>
      <c r="E45" s="3">
        <v>4194304</v>
      </c>
      <c r="F45" s="2">
        <v>8</v>
      </c>
      <c r="G45" s="2">
        <v>4</v>
      </c>
      <c r="H45" s="3">
        <v>2048</v>
      </c>
      <c r="I45" s="3">
        <v>2048</v>
      </c>
      <c r="J45" s="2">
        <v>64</v>
      </c>
      <c r="K45" s="3">
        <v>4096</v>
      </c>
      <c r="L45" s="2">
        <v>512</v>
      </c>
      <c r="M45" s="2">
        <v>14.080399999999999</v>
      </c>
      <c r="N45" s="2">
        <v>13.6533</v>
      </c>
      <c r="O45" s="2">
        <v>0.96970000000000001</v>
      </c>
      <c r="P45" s="2">
        <v>595.76</v>
      </c>
      <c r="Q45" s="2">
        <v>74.47</v>
      </c>
      <c r="R45" s="2">
        <v>102.4</v>
      </c>
      <c r="S45" s="2">
        <v>8.0017999999999994</v>
      </c>
      <c r="T45" s="2">
        <v>0.125</v>
      </c>
      <c r="U45" s="2">
        <v>8</v>
      </c>
      <c r="V45" s="2">
        <v>100.02</v>
      </c>
      <c r="W45" s="2">
        <v>1.2549999999999999</v>
      </c>
      <c r="X45" s="2" t="s">
        <v>195</v>
      </c>
    </row>
    <row r="46" spans="1:24" x14ac:dyDescent="0.35">
      <c r="A46" s="2" t="s">
        <v>37</v>
      </c>
      <c r="B46" s="2" t="s">
        <v>42</v>
      </c>
      <c r="C46" s="2" t="s">
        <v>82</v>
      </c>
      <c r="D46" s="2" t="s">
        <v>83</v>
      </c>
      <c r="E46" s="3">
        <v>16777216</v>
      </c>
      <c r="F46" s="2">
        <v>9</v>
      </c>
      <c r="G46" s="2">
        <v>4</v>
      </c>
      <c r="H46" s="3">
        <v>4096</v>
      </c>
      <c r="I46" s="3">
        <v>4096</v>
      </c>
      <c r="J46" s="2">
        <v>128</v>
      </c>
      <c r="K46" s="3">
        <v>16384</v>
      </c>
      <c r="L46" s="2">
        <v>128</v>
      </c>
      <c r="M46" s="2">
        <v>56.578699999999998</v>
      </c>
      <c r="N46" s="2">
        <v>54.613300000000002</v>
      </c>
      <c r="O46" s="2">
        <v>0.96530000000000005</v>
      </c>
      <c r="P46" s="2">
        <v>593.05999999999995</v>
      </c>
      <c r="Q46" s="2">
        <v>74.13</v>
      </c>
      <c r="R46" s="2">
        <v>101.93</v>
      </c>
      <c r="S46" s="2">
        <v>7.9962999999999997</v>
      </c>
      <c r="T46" s="2">
        <v>0.12509999999999999</v>
      </c>
      <c r="U46" s="2">
        <v>8</v>
      </c>
      <c r="V46" s="2">
        <v>99.95</v>
      </c>
      <c r="W46" s="2">
        <v>1.635</v>
      </c>
      <c r="X46" s="2" t="s">
        <v>195</v>
      </c>
    </row>
    <row r="47" spans="1:24" x14ac:dyDescent="0.35">
      <c r="A47" s="2" t="s">
        <v>37</v>
      </c>
      <c r="B47" s="2" t="s">
        <v>42</v>
      </c>
      <c r="C47" s="2" t="s">
        <v>84</v>
      </c>
      <c r="D47" s="2" t="s">
        <v>85</v>
      </c>
      <c r="E47" s="3">
        <v>16777216</v>
      </c>
      <c r="F47" s="2">
        <v>10</v>
      </c>
      <c r="G47" s="2">
        <v>4</v>
      </c>
      <c r="H47" s="3">
        <v>8192</v>
      </c>
      <c r="I47" s="3">
        <v>2048</v>
      </c>
      <c r="J47" s="2">
        <v>64</v>
      </c>
      <c r="K47" s="3">
        <v>16384</v>
      </c>
      <c r="L47" s="2">
        <v>128</v>
      </c>
      <c r="M47" s="2">
        <v>56.970500000000001</v>
      </c>
      <c r="N47" s="2">
        <v>54.613300000000002</v>
      </c>
      <c r="O47" s="2">
        <v>0.95860000000000001</v>
      </c>
      <c r="P47" s="2">
        <v>588.98</v>
      </c>
      <c r="Q47" s="2">
        <v>73.62</v>
      </c>
      <c r="R47" s="2">
        <v>101.23</v>
      </c>
      <c r="S47" s="2">
        <v>7.9686000000000003</v>
      </c>
      <c r="T47" s="2">
        <v>0.1255</v>
      </c>
      <c r="U47" s="2">
        <v>8</v>
      </c>
      <c r="V47" s="2">
        <v>99.61</v>
      </c>
      <c r="W47" s="2">
        <v>0.25700000000000001</v>
      </c>
      <c r="X47" s="2" t="s">
        <v>195</v>
      </c>
    </row>
    <row r="48" spans="1:24" x14ac:dyDescent="0.35">
      <c r="A48" s="2" t="s">
        <v>37</v>
      </c>
      <c r="B48" s="2" t="s">
        <v>42</v>
      </c>
      <c r="C48" s="2" t="s">
        <v>86</v>
      </c>
      <c r="D48" s="2" t="s">
        <v>87</v>
      </c>
      <c r="E48" s="3">
        <v>16777216</v>
      </c>
      <c r="F48" s="2">
        <v>11</v>
      </c>
      <c r="G48" s="2">
        <v>4</v>
      </c>
      <c r="H48" s="3">
        <v>2048</v>
      </c>
      <c r="I48" s="3">
        <v>8192</v>
      </c>
      <c r="J48" s="2">
        <v>256</v>
      </c>
      <c r="K48" s="3">
        <v>16384</v>
      </c>
      <c r="L48" s="2">
        <v>128</v>
      </c>
      <c r="M48" s="2">
        <v>56.651400000000002</v>
      </c>
      <c r="N48" s="2">
        <v>54.613300000000002</v>
      </c>
      <c r="O48" s="2">
        <v>0.96399999999999997</v>
      </c>
      <c r="P48" s="2">
        <v>592.29999999999995</v>
      </c>
      <c r="Q48" s="2">
        <v>74.040000000000006</v>
      </c>
      <c r="R48" s="2">
        <v>101.8</v>
      </c>
      <c r="S48" s="2">
        <v>8.0263000000000009</v>
      </c>
      <c r="T48" s="2">
        <v>0.1246</v>
      </c>
      <c r="U48" s="2">
        <v>8</v>
      </c>
      <c r="V48" s="2">
        <v>100.33</v>
      </c>
      <c r="W48" s="2">
        <v>4.9930000000000003</v>
      </c>
      <c r="X48" s="2" t="s">
        <v>195</v>
      </c>
    </row>
    <row r="49" spans="1:24" x14ac:dyDescent="0.35">
      <c r="A49" s="2" t="s">
        <v>37</v>
      </c>
      <c r="B49" s="2" t="s">
        <v>42</v>
      </c>
      <c r="C49" s="2" t="s">
        <v>88</v>
      </c>
      <c r="F49" s="2">
        <v>12</v>
      </c>
      <c r="G49" s="2">
        <v>4</v>
      </c>
      <c r="O49" s="2">
        <v>0.9577</v>
      </c>
      <c r="P49" s="2">
        <v>588.4</v>
      </c>
      <c r="S49" s="2">
        <v>7.9318</v>
      </c>
      <c r="T49" s="2">
        <v>0.12609999999999999</v>
      </c>
      <c r="U49" s="2">
        <v>8</v>
      </c>
      <c r="V49" s="2">
        <v>99.15</v>
      </c>
      <c r="X49" s="2" t="s">
        <v>195</v>
      </c>
    </row>
    <row r="50" spans="1:24" x14ac:dyDescent="0.35">
      <c r="A50" s="2" t="s">
        <v>37</v>
      </c>
      <c r="B50" s="2" t="s">
        <v>44</v>
      </c>
      <c r="C50" s="2" t="s">
        <v>66</v>
      </c>
      <c r="D50" s="2" t="s">
        <v>67</v>
      </c>
      <c r="E50" s="3">
        <v>262144</v>
      </c>
      <c r="F50" s="2">
        <v>1</v>
      </c>
      <c r="G50" s="2">
        <v>5</v>
      </c>
      <c r="H50" s="2">
        <v>512</v>
      </c>
      <c r="I50" s="2">
        <v>512</v>
      </c>
      <c r="J50" s="2">
        <v>16</v>
      </c>
      <c r="K50" s="2">
        <v>128</v>
      </c>
      <c r="L50" s="3">
        <v>16384</v>
      </c>
      <c r="M50" s="2">
        <v>0.4657</v>
      </c>
      <c r="N50" s="2">
        <v>0.42670000000000002</v>
      </c>
      <c r="O50" s="2">
        <v>0.91620000000000001</v>
      </c>
      <c r="P50" s="2">
        <v>1125.8900000000001</v>
      </c>
      <c r="Q50" s="2">
        <v>70.37</v>
      </c>
      <c r="R50" s="2">
        <v>96.76</v>
      </c>
      <c r="S50" s="2">
        <v>15.1937</v>
      </c>
      <c r="T50" s="2">
        <v>6.5799999999999997E-2</v>
      </c>
      <c r="U50" s="2">
        <v>16</v>
      </c>
      <c r="V50" s="2">
        <v>94.96</v>
      </c>
      <c r="W50" s="2">
        <v>1.39</v>
      </c>
      <c r="X50" s="2" t="s">
        <v>195</v>
      </c>
    </row>
    <row r="51" spans="1:24" x14ac:dyDescent="0.35">
      <c r="A51" s="2" t="s">
        <v>37</v>
      </c>
      <c r="B51" s="2" t="s">
        <v>44</v>
      </c>
      <c r="C51" s="2" t="s">
        <v>68</v>
      </c>
      <c r="D51" s="2" t="s">
        <v>69</v>
      </c>
      <c r="E51" s="3">
        <v>589824</v>
      </c>
      <c r="F51" s="2">
        <v>2</v>
      </c>
      <c r="G51" s="2">
        <v>5</v>
      </c>
      <c r="H51" s="2">
        <v>768</v>
      </c>
      <c r="I51" s="2">
        <v>768</v>
      </c>
      <c r="J51" s="2">
        <v>24</v>
      </c>
      <c r="K51" s="2">
        <v>288</v>
      </c>
      <c r="L51" s="3">
        <v>7282</v>
      </c>
      <c r="M51" s="2">
        <v>1.0187999999999999</v>
      </c>
      <c r="N51" s="2">
        <v>0.96</v>
      </c>
      <c r="O51" s="2">
        <v>0.94230000000000003</v>
      </c>
      <c r="P51" s="2">
        <v>1157.8399999999999</v>
      </c>
      <c r="Q51" s="2">
        <v>72.37</v>
      </c>
      <c r="R51" s="2">
        <v>99.5</v>
      </c>
      <c r="S51" s="2">
        <v>15.7401</v>
      </c>
      <c r="T51" s="2">
        <v>6.3500000000000001E-2</v>
      </c>
      <c r="U51" s="2">
        <v>16</v>
      </c>
      <c r="V51" s="2">
        <v>98.38</v>
      </c>
      <c r="W51" s="2">
        <v>0.93</v>
      </c>
      <c r="X51" s="2" t="s">
        <v>195</v>
      </c>
    </row>
    <row r="52" spans="1:24" x14ac:dyDescent="0.35">
      <c r="A52" s="2" t="s">
        <v>37</v>
      </c>
      <c r="B52" s="2" t="s">
        <v>44</v>
      </c>
      <c r="C52" s="2" t="s">
        <v>70</v>
      </c>
      <c r="D52" s="2" t="s">
        <v>71</v>
      </c>
      <c r="E52" s="3">
        <v>1048576</v>
      </c>
      <c r="F52" s="2">
        <v>3</v>
      </c>
      <c r="G52" s="2">
        <v>5</v>
      </c>
      <c r="H52" s="3">
        <v>1024</v>
      </c>
      <c r="I52" s="3">
        <v>1024</v>
      </c>
      <c r="J52" s="2">
        <v>32</v>
      </c>
      <c r="K52" s="2">
        <v>512</v>
      </c>
      <c r="L52" s="3">
        <v>4096</v>
      </c>
      <c r="M52" s="2">
        <v>1.7924</v>
      </c>
      <c r="N52" s="2">
        <v>1.7067000000000001</v>
      </c>
      <c r="O52" s="2">
        <v>0.95220000000000005</v>
      </c>
      <c r="P52" s="2">
        <v>1170.03</v>
      </c>
      <c r="Q52" s="2">
        <v>73.13</v>
      </c>
      <c r="R52" s="2">
        <v>100.55</v>
      </c>
      <c r="S52" s="2">
        <v>15.5015</v>
      </c>
      <c r="T52" s="2">
        <v>6.4500000000000002E-2</v>
      </c>
      <c r="U52" s="2">
        <v>16</v>
      </c>
      <c r="V52" s="2">
        <v>96.88</v>
      </c>
      <c r="W52" s="2">
        <v>1.242</v>
      </c>
      <c r="X52" s="2" t="s">
        <v>195</v>
      </c>
    </row>
    <row r="53" spans="1:24" x14ac:dyDescent="0.35">
      <c r="A53" s="2" t="s">
        <v>37</v>
      </c>
      <c r="B53" s="2" t="s">
        <v>44</v>
      </c>
      <c r="C53" s="2" t="s">
        <v>72</v>
      </c>
      <c r="D53" s="2" t="s">
        <v>73</v>
      </c>
      <c r="E53" s="3">
        <v>2359296</v>
      </c>
      <c r="F53" s="2">
        <v>4</v>
      </c>
      <c r="G53" s="2">
        <v>5</v>
      </c>
      <c r="H53" s="3">
        <v>3072</v>
      </c>
      <c r="I53" s="2">
        <v>768</v>
      </c>
      <c r="J53" s="2">
        <v>24</v>
      </c>
      <c r="K53" s="3">
        <v>1152</v>
      </c>
      <c r="L53" s="3">
        <v>1821</v>
      </c>
      <c r="M53" s="2">
        <v>4.0896999999999997</v>
      </c>
      <c r="N53" s="2">
        <v>3.84</v>
      </c>
      <c r="O53" s="2">
        <v>0.93899999999999995</v>
      </c>
      <c r="P53" s="2">
        <v>1153.79</v>
      </c>
      <c r="Q53" s="2">
        <v>72.11</v>
      </c>
      <c r="R53" s="2">
        <v>99.15</v>
      </c>
      <c r="S53" s="2">
        <v>15.4823</v>
      </c>
      <c r="T53" s="2">
        <v>6.4600000000000005E-2</v>
      </c>
      <c r="U53" s="2">
        <v>16</v>
      </c>
      <c r="V53" s="2">
        <v>96.76</v>
      </c>
      <c r="W53" s="2">
        <v>0.85699999999999998</v>
      </c>
      <c r="X53" s="2" t="s">
        <v>195</v>
      </c>
    </row>
    <row r="54" spans="1:24" x14ac:dyDescent="0.35">
      <c r="A54" s="2" t="s">
        <v>37</v>
      </c>
      <c r="B54" s="2" t="s">
        <v>44</v>
      </c>
      <c r="C54" s="2" t="s">
        <v>74</v>
      </c>
      <c r="D54" s="2" t="s">
        <v>75</v>
      </c>
      <c r="E54" s="3">
        <v>2359296</v>
      </c>
      <c r="F54" s="2">
        <v>5</v>
      </c>
      <c r="G54" s="2">
        <v>5</v>
      </c>
      <c r="H54" s="2">
        <v>768</v>
      </c>
      <c r="I54" s="3">
        <v>3072</v>
      </c>
      <c r="J54" s="2">
        <v>96</v>
      </c>
      <c r="K54" s="3">
        <v>1152</v>
      </c>
      <c r="L54" s="3">
        <v>1821</v>
      </c>
      <c r="M54" s="2">
        <v>3.9411</v>
      </c>
      <c r="N54" s="2">
        <v>3.84</v>
      </c>
      <c r="O54" s="2">
        <v>0.97430000000000005</v>
      </c>
      <c r="P54" s="2">
        <v>1197.28</v>
      </c>
      <c r="Q54" s="2">
        <v>74.83</v>
      </c>
      <c r="R54" s="2">
        <v>102.89</v>
      </c>
      <c r="S54" s="2">
        <v>16.191600000000001</v>
      </c>
      <c r="T54" s="2">
        <v>6.1800000000000001E-2</v>
      </c>
      <c r="U54" s="2">
        <v>16</v>
      </c>
      <c r="V54" s="2">
        <v>101.2</v>
      </c>
      <c r="W54" s="2">
        <v>2.57</v>
      </c>
      <c r="X54" s="2" t="s">
        <v>195</v>
      </c>
    </row>
    <row r="55" spans="1:24" x14ac:dyDescent="0.35">
      <c r="A55" s="2" t="s">
        <v>37</v>
      </c>
      <c r="B55" s="2" t="s">
        <v>44</v>
      </c>
      <c r="C55" s="2" t="s">
        <v>76</v>
      </c>
      <c r="D55" s="2" t="s">
        <v>77</v>
      </c>
      <c r="E55" s="3">
        <v>4194304</v>
      </c>
      <c r="F55" s="2">
        <v>6</v>
      </c>
      <c r="G55" s="2">
        <v>5</v>
      </c>
      <c r="H55" s="3">
        <v>4096</v>
      </c>
      <c r="I55" s="3">
        <v>1024</v>
      </c>
      <c r="J55" s="2">
        <v>32</v>
      </c>
      <c r="K55" s="3">
        <v>2048</v>
      </c>
      <c r="L55" s="3">
        <v>1024</v>
      </c>
      <c r="M55" s="2">
        <v>7.2076000000000002</v>
      </c>
      <c r="N55" s="2">
        <v>6.8266999999999998</v>
      </c>
      <c r="O55" s="2">
        <v>0.94710000000000005</v>
      </c>
      <c r="P55" s="2">
        <v>1163.8599999999999</v>
      </c>
      <c r="Q55" s="2">
        <v>72.739999999999995</v>
      </c>
      <c r="R55" s="2">
        <v>100.02</v>
      </c>
      <c r="S55" s="2">
        <v>15.760300000000001</v>
      </c>
      <c r="T55" s="2">
        <v>6.3500000000000001E-2</v>
      </c>
      <c r="U55" s="2">
        <v>16</v>
      </c>
      <c r="V55" s="2">
        <v>98.5</v>
      </c>
      <c r="W55" s="2">
        <v>0.877</v>
      </c>
      <c r="X55" s="2" t="s">
        <v>195</v>
      </c>
    </row>
    <row r="56" spans="1:24" x14ac:dyDescent="0.35">
      <c r="A56" s="2" t="s">
        <v>37</v>
      </c>
      <c r="B56" s="2" t="s">
        <v>44</v>
      </c>
      <c r="C56" s="2" t="s">
        <v>78</v>
      </c>
      <c r="D56" s="2" t="s">
        <v>79</v>
      </c>
      <c r="E56" s="3">
        <v>4194304</v>
      </c>
      <c r="F56" s="2">
        <v>7</v>
      </c>
      <c r="G56" s="2">
        <v>5</v>
      </c>
      <c r="H56" s="3">
        <v>1024</v>
      </c>
      <c r="I56" s="3">
        <v>4096</v>
      </c>
      <c r="J56" s="2">
        <v>128</v>
      </c>
      <c r="K56" s="3">
        <v>2048</v>
      </c>
      <c r="L56" s="3">
        <v>1024</v>
      </c>
      <c r="M56" s="2">
        <v>7.05</v>
      </c>
      <c r="N56" s="2">
        <v>6.8266999999999998</v>
      </c>
      <c r="O56" s="2">
        <v>0.96830000000000005</v>
      </c>
      <c r="P56" s="2">
        <v>1189.8699999999999</v>
      </c>
      <c r="Q56" s="2">
        <v>74.37</v>
      </c>
      <c r="R56" s="2">
        <v>102.25</v>
      </c>
      <c r="S56" s="2">
        <v>16.0367</v>
      </c>
      <c r="T56" s="2">
        <v>6.2399999999999997E-2</v>
      </c>
      <c r="U56" s="2">
        <v>16</v>
      </c>
      <c r="V56" s="2">
        <v>100.23</v>
      </c>
      <c r="W56" s="2">
        <v>0.81399999999999995</v>
      </c>
      <c r="X56" s="2" t="s">
        <v>195</v>
      </c>
    </row>
    <row r="57" spans="1:24" x14ac:dyDescent="0.35">
      <c r="A57" s="2" t="s">
        <v>37</v>
      </c>
      <c r="B57" s="2" t="s">
        <v>44</v>
      </c>
      <c r="C57" s="2" t="s">
        <v>80</v>
      </c>
      <c r="D57" s="2" t="s">
        <v>81</v>
      </c>
      <c r="E57" s="3">
        <v>4194304</v>
      </c>
      <c r="F57" s="2">
        <v>8</v>
      </c>
      <c r="G57" s="2">
        <v>5</v>
      </c>
      <c r="H57" s="3">
        <v>2048</v>
      </c>
      <c r="I57" s="3">
        <v>2048</v>
      </c>
      <c r="J57" s="2">
        <v>64</v>
      </c>
      <c r="K57" s="3">
        <v>2048</v>
      </c>
      <c r="L57" s="3">
        <v>1024</v>
      </c>
      <c r="M57" s="2">
        <v>7.1193</v>
      </c>
      <c r="N57" s="2">
        <v>6.8266999999999998</v>
      </c>
      <c r="O57" s="2">
        <v>0.95889999999999997</v>
      </c>
      <c r="P57" s="2">
        <v>1178.3</v>
      </c>
      <c r="Q57" s="2">
        <v>73.64</v>
      </c>
      <c r="R57" s="2">
        <v>101.26</v>
      </c>
      <c r="S57" s="2">
        <v>15.825799999999999</v>
      </c>
      <c r="T57" s="2">
        <v>6.3200000000000006E-2</v>
      </c>
      <c r="U57" s="2">
        <v>16</v>
      </c>
      <c r="V57" s="2">
        <v>98.91</v>
      </c>
      <c r="W57" s="2">
        <v>0.58499999999999996</v>
      </c>
      <c r="X57" s="2" t="s">
        <v>195</v>
      </c>
    </row>
    <row r="58" spans="1:24" x14ac:dyDescent="0.35">
      <c r="A58" s="2" t="s">
        <v>37</v>
      </c>
      <c r="B58" s="2" t="s">
        <v>44</v>
      </c>
      <c r="C58" s="2" t="s">
        <v>82</v>
      </c>
      <c r="D58" s="2" t="s">
        <v>83</v>
      </c>
      <c r="E58" s="3">
        <v>16777216</v>
      </c>
      <c r="F58" s="2">
        <v>9</v>
      </c>
      <c r="G58" s="2">
        <v>5</v>
      </c>
      <c r="H58" s="3">
        <v>4096</v>
      </c>
      <c r="I58" s="3">
        <v>4096</v>
      </c>
      <c r="J58" s="2">
        <v>128</v>
      </c>
      <c r="K58" s="3">
        <v>8192</v>
      </c>
      <c r="L58" s="2">
        <v>256</v>
      </c>
      <c r="M58" s="2">
        <v>28.266400000000001</v>
      </c>
      <c r="N58" s="2">
        <v>27.306699999999999</v>
      </c>
      <c r="O58" s="2">
        <v>0.96599999999999997</v>
      </c>
      <c r="P58" s="2">
        <v>1187.08</v>
      </c>
      <c r="Q58" s="2">
        <v>74.19</v>
      </c>
      <c r="R58" s="2">
        <v>102.01</v>
      </c>
      <c r="S58" s="2">
        <v>16.005600000000001</v>
      </c>
      <c r="T58" s="2">
        <v>6.25E-2</v>
      </c>
      <c r="U58" s="2">
        <v>16</v>
      </c>
      <c r="V58" s="2">
        <v>100.03</v>
      </c>
      <c r="W58" s="2">
        <v>0.64800000000000002</v>
      </c>
      <c r="X58" s="2" t="s">
        <v>195</v>
      </c>
    </row>
    <row r="59" spans="1:24" x14ac:dyDescent="0.35">
      <c r="A59" s="2" t="s">
        <v>37</v>
      </c>
      <c r="B59" s="2" t="s">
        <v>44</v>
      </c>
      <c r="C59" s="2" t="s">
        <v>84</v>
      </c>
      <c r="D59" s="2" t="s">
        <v>85</v>
      </c>
      <c r="E59" s="3">
        <v>16777216</v>
      </c>
      <c r="F59" s="2">
        <v>10</v>
      </c>
      <c r="G59" s="2">
        <v>5</v>
      </c>
      <c r="H59" s="3">
        <v>8192</v>
      </c>
      <c r="I59" s="3">
        <v>2048</v>
      </c>
      <c r="J59" s="2">
        <v>64</v>
      </c>
      <c r="K59" s="3">
        <v>8192</v>
      </c>
      <c r="L59" s="2">
        <v>256</v>
      </c>
      <c r="M59" s="2">
        <v>28.450299999999999</v>
      </c>
      <c r="N59" s="2">
        <v>27.306699999999999</v>
      </c>
      <c r="O59" s="2">
        <v>0.95979999999999999</v>
      </c>
      <c r="P59" s="2">
        <v>1179.4100000000001</v>
      </c>
      <c r="Q59" s="2">
        <v>73.709999999999994</v>
      </c>
      <c r="R59" s="2">
        <v>101.36</v>
      </c>
      <c r="S59" s="2">
        <v>15.956899999999999</v>
      </c>
      <c r="T59" s="2">
        <v>6.2700000000000006E-2</v>
      </c>
      <c r="U59" s="2">
        <v>16</v>
      </c>
      <c r="V59" s="2">
        <v>99.73</v>
      </c>
      <c r="W59" s="2">
        <v>0.91</v>
      </c>
      <c r="X59" s="2" t="s">
        <v>195</v>
      </c>
    </row>
    <row r="60" spans="1:24" x14ac:dyDescent="0.35">
      <c r="A60" s="2" t="s">
        <v>37</v>
      </c>
      <c r="B60" s="2" t="s">
        <v>44</v>
      </c>
      <c r="C60" s="2" t="s">
        <v>86</v>
      </c>
      <c r="D60" s="2" t="s">
        <v>87</v>
      </c>
      <c r="E60" s="3">
        <v>16777216</v>
      </c>
      <c r="F60" s="2">
        <v>11</v>
      </c>
      <c r="G60" s="2">
        <v>5</v>
      </c>
      <c r="H60" s="3">
        <v>2048</v>
      </c>
      <c r="I60" s="3">
        <v>8192</v>
      </c>
      <c r="J60" s="2">
        <v>256</v>
      </c>
      <c r="K60" s="3">
        <v>8192</v>
      </c>
      <c r="L60" s="2">
        <v>256</v>
      </c>
      <c r="M60" s="2">
        <v>27.9589</v>
      </c>
      <c r="N60" s="2">
        <v>27.306699999999999</v>
      </c>
      <c r="O60" s="2">
        <v>0.97670000000000001</v>
      </c>
      <c r="P60" s="2">
        <v>1200.1300000000001</v>
      </c>
      <c r="Q60" s="2">
        <v>75.010000000000005</v>
      </c>
      <c r="R60" s="2">
        <v>103.14</v>
      </c>
      <c r="S60" s="2">
        <v>16.263200000000001</v>
      </c>
      <c r="T60" s="2">
        <v>6.1499999999999999E-2</v>
      </c>
      <c r="U60" s="2">
        <v>16</v>
      </c>
      <c r="V60" s="2">
        <v>101.65</v>
      </c>
      <c r="W60" s="2">
        <v>1.554</v>
      </c>
      <c r="X60" s="2" t="s">
        <v>195</v>
      </c>
    </row>
    <row r="61" spans="1:24" x14ac:dyDescent="0.35">
      <c r="A61" s="2" t="s">
        <v>37</v>
      </c>
      <c r="B61" s="2" t="s">
        <v>44</v>
      </c>
      <c r="C61" s="2" t="s">
        <v>88</v>
      </c>
      <c r="F61" s="2">
        <v>12</v>
      </c>
      <c r="G61" s="2">
        <v>5</v>
      </c>
      <c r="O61" s="2">
        <v>0.9546</v>
      </c>
      <c r="P61" s="2">
        <v>1173.04</v>
      </c>
      <c r="S61" s="2">
        <v>15.811299999999999</v>
      </c>
      <c r="T61" s="2">
        <v>6.3200000000000006E-2</v>
      </c>
      <c r="U61" s="2">
        <v>16</v>
      </c>
      <c r="V61" s="2">
        <v>98.82</v>
      </c>
      <c r="X61" s="2" t="s">
        <v>195</v>
      </c>
    </row>
    <row r="62" spans="1:24" x14ac:dyDescent="0.35">
      <c r="A62" s="2" t="s">
        <v>37</v>
      </c>
      <c r="B62" s="2" t="s">
        <v>46</v>
      </c>
      <c r="C62" s="2" t="s">
        <v>66</v>
      </c>
      <c r="D62" s="2" t="s">
        <v>67</v>
      </c>
      <c r="E62" s="3">
        <v>262144</v>
      </c>
      <c r="F62" s="2">
        <v>1</v>
      </c>
      <c r="G62" s="2">
        <v>6</v>
      </c>
      <c r="H62" s="2">
        <v>512</v>
      </c>
      <c r="I62" s="2">
        <v>512</v>
      </c>
      <c r="J62" s="2">
        <v>16</v>
      </c>
      <c r="K62" s="2">
        <v>480</v>
      </c>
      <c r="L62" s="3">
        <v>4370</v>
      </c>
      <c r="M62" s="2">
        <v>1.6601999999999999</v>
      </c>
      <c r="N62" s="2">
        <v>1.6</v>
      </c>
      <c r="O62" s="2">
        <v>0.96379999999999999</v>
      </c>
      <c r="P62" s="2">
        <v>315.8</v>
      </c>
      <c r="Q62" s="2">
        <v>74.02</v>
      </c>
      <c r="R62" s="2">
        <v>101.77</v>
      </c>
      <c r="S62" s="2">
        <v>4.2619999999999996</v>
      </c>
      <c r="T62" s="2">
        <v>0.2346</v>
      </c>
      <c r="W62" s="2">
        <v>0.495</v>
      </c>
      <c r="X62" s="2" t="s">
        <v>195</v>
      </c>
    </row>
    <row r="63" spans="1:24" x14ac:dyDescent="0.35">
      <c r="A63" s="2" t="s">
        <v>37</v>
      </c>
      <c r="B63" s="2" t="s">
        <v>46</v>
      </c>
      <c r="C63" s="2" t="s">
        <v>68</v>
      </c>
      <c r="D63" s="2" t="s">
        <v>69</v>
      </c>
      <c r="E63" s="3">
        <v>589824</v>
      </c>
      <c r="F63" s="2">
        <v>2</v>
      </c>
      <c r="G63" s="2">
        <v>6</v>
      </c>
      <c r="H63" s="2">
        <v>768</v>
      </c>
      <c r="I63" s="2">
        <v>768</v>
      </c>
      <c r="J63" s="2">
        <v>24</v>
      </c>
      <c r="K63" s="3">
        <v>1080</v>
      </c>
      <c r="L63" s="3">
        <v>1942</v>
      </c>
      <c r="M63" s="2">
        <v>3.7231000000000001</v>
      </c>
      <c r="N63" s="2">
        <v>3.6</v>
      </c>
      <c r="O63" s="2">
        <v>0.96689999999999998</v>
      </c>
      <c r="P63" s="2">
        <v>316.83999999999997</v>
      </c>
      <c r="Q63" s="2">
        <v>74.260000000000005</v>
      </c>
      <c r="R63" s="2">
        <v>102.11</v>
      </c>
      <c r="S63" s="2">
        <v>4.3071999999999999</v>
      </c>
      <c r="T63" s="2">
        <v>0.23219999999999999</v>
      </c>
      <c r="W63" s="2">
        <v>0.151</v>
      </c>
      <c r="X63" s="2" t="s">
        <v>195</v>
      </c>
    </row>
    <row r="64" spans="1:24" x14ac:dyDescent="0.35">
      <c r="A64" s="2" t="s">
        <v>37</v>
      </c>
      <c r="B64" s="2" t="s">
        <v>46</v>
      </c>
      <c r="C64" s="2" t="s">
        <v>70</v>
      </c>
      <c r="D64" s="2" t="s">
        <v>71</v>
      </c>
      <c r="E64" s="3">
        <v>1048576</v>
      </c>
      <c r="F64" s="2">
        <v>3</v>
      </c>
      <c r="G64" s="2">
        <v>6</v>
      </c>
      <c r="H64" s="3">
        <v>1024</v>
      </c>
      <c r="I64" s="3">
        <v>1024</v>
      </c>
      <c r="J64" s="2">
        <v>32</v>
      </c>
      <c r="K64" s="3">
        <v>1920</v>
      </c>
      <c r="L64" s="3">
        <v>1093</v>
      </c>
      <c r="M64" s="2">
        <v>6.4935</v>
      </c>
      <c r="N64" s="2">
        <v>6.4</v>
      </c>
      <c r="O64" s="2">
        <v>0.98560000000000003</v>
      </c>
      <c r="P64" s="2">
        <v>322.95999999999998</v>
      </c>
      <c r="Q64" s="2">
        <v>75.69</v>
      </c>
      <c r="R64" s="2">
        <v>104.08</v>
      </c>
      <c r="S64" s="2">
        <v>4.2789000000000001</v>
      </c>
      <c r="T64" s="2">
        <v>0.23369999999999999</v>
      </c>
      <c r="W64" s="2">
        <v>2.8570000000000002</v>
      </c>
      <c r="X64" s="2" t="s">
        <v>195</v>
      </c>
    </row>
    <row r="65" spans="1:24" x14ac:dyDescent="0.35">
      <c r="A65" s="2" t="s">
        <v>37</v>
      </c>
      <c r="B65" s="2" t="s">
        <v>46</v>
      </c>
      <c r="C65" s="2" t="s">
        <v>72</v>
      </c>
      <c r="D65" s="2" t="s">
        <v>73</v>
      </c>
      <c r="E65" s="3">
        <v>2359296</v>
      </c>
      <c r="F65" s="2">
        <v>4</v>
      </c>
      <c r="G65" s="2">
        <v>6</v>
      </c>
      <c r="H65" s="3">
        <v>3072</v>
      </c>
      <c r="I65" s="2">
        <v>768</v>
      </c>
      <c r="J65" s="2">
        <v>24</v>
      </c>
      <c r="K65" s="3">
        <v>4320</v>
      </c>
      <c r="L65" s="2">
        <v>486</v>
      </c>
      <c r="M65" s="2">
        <v>14.7399</v>
      </c>
      <c r="N65" s="2">
        <v>14.4</v>
      </c>
      <c r="O65" s="2">
        <v>0.97689999999999999</v>
      </c>
      <c r="P65" s="2">
        <v>320.12</v>
      </c>
      <c r="Q65" s="2">
        <v>75.03</v>
      </c>
      <c r="R65" s="2">
        <v>103.17</v>
      </c>
      <c r="S65" s="2">
        <v>4.2957000000000001</v>
      </c>
      <c r="T65" s="2">
        <v>0.23280000000000001</v>
      </c>
      <c r="W65" s="2">
        <v>2.63</v>
      </c>
      <c r="X65" s="2" t="s">
        <v>195</v>
      </c>
    </row>
    <row r="66" spans="1:24" x14ac:dyDescent="0.35">
      <c r="A66" s="2" t="s">
        <v>37</v>
      </c>
      <c r="B66" s="2" t="s">
        <v>46</v>
      </c>
      <c r="C66" s="2" t="s">
        <v>74</v>
      </c>
      <c r="D66" s="2" t="s">
        <v>75</v>
      </c>
      <c r="E66" s="3">
        <v>2359296</v>
      </c>
      <c r="F66" s="2">
        <v>5</v>
      </c>
      <c r="G66" s="2">
        <v>6</v>
      </c>
      <c r="H66" s="2">
        <v>768</v>
      </c>
      <c r="I66" s="3">
        <v>3072</v>
      </c>
      <c r="J66" s="2">
        <v>96</v>
      </c>
      <c r="K66" s="3">
        <v>4320</v>
      </c>
      <c r="L66" s="2">
        <v>486</v>
      </c>
      <c r="M66" s="2">
        <v>14.71</v>
      </c>
      <c r="N66" s="2">
        <v>14.4</v>
      </c>
      <c r="O66" s="2">
        <v>0.97889999999999999</v>
      </c>
      <c r="P66" s="2">
        <v>320.77</v>
      </c>
      <c r="Q66" s="2">
        <v>75.180000000000007</v>
      </c>
      <c r="R66" s="2">
        <v>103.37</v>
      </c>
      <c r="S66" s="2">
        <v>4.3380999999999998</v>
      </c>
      <c r="T66" s="2">
        <v>0.23050000000000001</v>
      </c>
      <c r="W66" s="2">
        <v>0.74299999999999999</v>
      </c>
      <c r="X66" s="2" t="s">
        <v>195</v>
      </c>
    </row>
    <row r="67" spans="1:24" x14ac:dyDescent="0.35">
      <c r="A67" s="2" t="s">
        <v>37</v>
      </c>
      <c r="B67" s="2" t="s">
        <v>46</v>
      </c>
      <c r="C67" s="2" t="s">
        <v>76</v>
      </c>
      <c r="D67" s="2" t="s">
        <v>77</v>
      </c>
      <c r="E67" s="3">
        <v>4194304</v>
      </c>
      <c r="F67" s="2">
        <v>6</v>
      </c>
      <c r="G67" s="2">
        <v>6</v>
      </c>
      <c r="H67" s="3">
        <v>4096</v>
      </c>
      <c r="I67" s="3">
        <v>1024</v>
      </c>
      <c r="J67" s="2">
        <v>32</v>
      </c>
      <c r="K67" s="3">
        <v>7680</v>
      </c>
      <c r="L67" s="2">
        <v>274</v>
      </c>
      <c r="M67" s="2">
        <v>26.3139</v>
      </c>
      <c r="N67" s="2">
        <v>25.6</v>
      </c>
      <c r="O67" s="2">
        <v>0.97289999999999999</v>
      </c>
      <c r="P67" s="2">
        <v>318.79000000000002</v>
      </c>
      <c r="Q67" s="2">
        <v>74.72</v>
      </c>
      <c r="R67" s="2">
        <v>102.74</v>
      </c>
      <c r="S67" s="2">
        <v>4.3169000000000004</v>
      </c>
      <c r="T67" s="2">
        <v>0.2316</v>
      </c>
      <c r="W67" s="2">
        <v>2.2480000000000002</v>
      </c>
      <c r="X67" s="2" t="s">
        <v>195</v>
      </c>
    </row>
    <row r="68" spans="1:24" x14ac:dyDescent="0.35">
      <c r="A68" s="2" t="s">
        <v>37</v>
      </c>
      <c r="B68" s="2" t="s">
        <v>46</v>
      </c>
      <c r="C68" s="2" t="s">
        <v>78</v>
      </c>
      <c r="D68" s="2" t="s">
        <v>79</v>
      </c>
      <c r="E68" s="3">
        <v>4194304</v>
      </c>
      <c r="F68" s="2">
        <v>7</v>
      </c>
      <c r="G68" s="2">
        <v>6</v>
      </c>
      <c r="H68" s="3">
        <v>1024</v>
      </c>
      <c r="I68" s="3">
        <v>4096</v>
      </c>
      <c r="J68" s="2">
        <v>128</v>
      </c>
      <c r="K68" s="3">
        <v>7680</v>
      </c>
      <c r="L68" s="2">
        <v>274</v>
      </c>
      <c r="M68" s="2">
        <v>26.0928</v>
      </c>
      <c r="N68" s="2">
        <v>25.6</v>
      </c>
      <c r="O68" s="2">
        <v>0.98109999999999997</v>
      </c>
      <c r="P68" s="2">
        <v>321.49</v>
      </c>
      <c r="Q68" s="2">
        <v>75.349999999999994</v>
      </c>
      <c r="R68" s="2">
        <v>103.61</v>
      </c>
      <c r="S68" s="2">
        <v>4.3329000000000004</v>
      </c>
      <c r="T68" s="2">
        <v>0.23080000000000001</v>
      </c>
      <c r="W68" s="2">
        <v>0.61499999999999999</v>
      </c>
      <c r="X68" s="2" t="s">
        <v>195</v>
      </c>
    </row>
    <row r="69" spans="1:24" x14ac:dyDescent="0.35">
      <c r="A69" s="2" t="s">
        <v>37</v>
      </c>
      <c r="B69" s="2" t="s">
        <v>46</v>
      </c>
      <c r="C69" s="2" t="s">
        <v>80</v>
      </c>
      <c r="D69" s="2" t="s">
        <v>81</v>
      </c>
      <c r="E69" s="3">
        <v>4194304</v>
      </c>
      <c r="F69" s="2">
        <v>8</v>
      </c>
      <c r="G69" s="2">
        <v>6</v>
      </c>
      <c r="H69" s="3">
        <v>2048</v>
      </c>
      <c r="I69" s="3">
        <v>2048</v>
      </c>
      <c r="J69" s="2">
        <v>64</v>
      </c>
      <c r="K69" s="3">
        <v>7680</v>
      </c>
      <c r="L69" s="2">
        <v>274</v>
      </c>
      <c r="M69" s="2">
        <v>26.226600000000001</v>
      </c>
      <c r="N69" s="2">
        <v>25.6</v>
      </c>
      <c r="O69" s="2">
        <v>0.97609999999999997</v>
      </c>
      <c r="P69" s="2">
        <v>319.85000000000002</v>
      </c>
      <c r="Q69" s="2">
        <v>74.97</v>
      </c>
      <c r="R69" s="2">
        <v>103.08</v>
      </c>
      <c r="S69" s="2">
        <v>4.2960000000000003</v>
      </c>
      <c r="T69" s="2">
        <v>0.23280000000000001</v>
      </c>
      <c r="W69" s="2">
        <v>0.219</v>
      </c>
      <c r="X69" s="2" t="s">
        <v>195</v>
      </c>
    </row>
    <row r="70" spans="1:24" x14ac:dyDescent="0.35">
      <c r="A70" s="2" t="s">
        <v>37</v>
      </c>
      <c r="B70" s="2" t="s">
        <v>46</v>
      </c>
      <c r="C70" s="2" t="s">
        <v>82</v>
      </c>
      <c r="D70" s="2" t="s">
        <v>83</v>
      </c>
      <c r="E70" s="3">
        <v>16777216</v>
      </c>
      <c r="F70" s="2">
        <v>9</v>
      </c>
      <c r="G70" s="2">
        <v>6</v>
      </c>
      <c r="H70" s="3">
        <v>4096</v>
      </c>
      <c r="I70" s="3">
        <v>4096</v>
      </c>
      <c r="J70" s="2">
        <v>128</v>
      </c>
      <c r="K70" s="3">
        <v>30720</v>
      </c>
      <c r="L70" s="2">
        <v>69</v>
      </c>
      <c r="M70" s="2">
        <v>104.3351</v>
      </c>
      <c r="N70" s="2">
        <v>102.4</v>
      </c>
      <c r="O70" s="2">
        <v>0.98150000000000004</v>
      </c>
      <c r="P70" s="2">
        <v>321.60000000000002</v>
      </c>
      <c r="Q70" s="2">
        <v>75.38</v>
      </c>
      <c r="R70" s="2">
        <v>103.64</v>
      </c>
      <c r="S70" s="2">
        <v>4.3361999999999998</v>
      </c>
      <c r="T70" s="2">
        <v>0.2306</v>
      </c>
      <c r="W70" s="2">
        <v>0.80300000000000005</v>
      </c>
      <c r="X70" s="2" t="s">
        <v>195</v>
      </c>
    </row>
    <row r="71" spans="1:24" x14ac:dyDescent="0.35">
      <c r="A71" s="2" t="s">
        <v>37</v>
      </c>
      <c r="B71" s="2" t="s">
        <v>46</v>
      </c>
      <c r="C71" s="2" t="s">
        <v>84</v>
      </c>
      <c r="D71" s="2" t="s">
        <v>85</v>
      </c>
      <c r="E71" s="3">
        <v>16777216</v>
      </c>
      <c r="F71" s="2">
        <v>10</v>
      </c>
      <c r="G71" s="2">
        <v>6</v>
      </c>
      <c r="H71" s="3">
        <v>8192</v>
      </c>
      <c r="I71" s="3">
        <v>2048</v>
      </c>
      <c r="J71" s="2">
        <v>64</v>
      </c>
      <c r="K71" s="3">
        <v>30720</v>
      </c>
      <c r="L71" s="2">
        <v>69</v>
      </c>
      <c r="M71" s="2">
        <v>106.1097</v>
      </c>
      <c r="N71" s="2">
        <v>102.4</v>
      </c>
      <c r="O71" s="2">
        <v>0.96499999999999997</v>
      </c>
      <c r="P71" s="2">
        <v>316.22000000000003</v>
      </c>
      <c r="Q71" s="2">
        <v>74.12</v>
      </c>
      <c r="R71" s="2">
        <v>101.91</v>
      </c>
      <c r="S71" s="2">
        <v>4.2784000000000004</v>
      </c>
      <c r="T71" s="2">
        <v>0.23369999999999999</v>
      </c>
      <c r="W71" s="2">
        <v>2.7989999999999999</v>
      </c>
      <c r="X71" s="2" t="s">
        <v>195</v>
      </c>
    </row>
    <row r="72" spans="1:24" x14ac:dyDescent="0.35">
      <c r="A72" s="2" t="s">
        <v>37</v>
      </c>
      <c r="B72" s="2" t="s">
        <v>46</v>
      </c>
      <c r="C72" s="2" t="s">
        <v>86</v>
      </c>
      <c r="D72" s="2" t="s">
        <v>87</v>
      </c>
      <c r="E72" s="3">
        <v>16777216</v>
      </c>
      <c r="F72" s="2">
        <v>11</v>
      </c>
      <c r="G72" s="2">
        <v>6</v>
      </c>
      <c r="H72" s="3">
        <v>2048</v>
      </c>
      <c r="I72" s="3">
        <v>8192</v>
      </c>
      <c r="J72" s="2">
        <v>256</v>
      </c>
      <c r="K72" s="3">
        <v>30720</v>
      </c>
      <c r="L72" s="2">
        <v>69</v>
      </c>
      <c r="M72" s="2">
        <v>104.3028</v>
      </c>
      <c r="N72" s="2">
        <v>102.4</v>
      </c>
      <c r="O72" s="2">
        <v>0.98180000000000001</v>
      </c>
      <c r="P72" s="2">
        <v>321.7</v>
      </c>
      <c r="Q72" s="2">
        <v>75.400000000000006</v>
      </c>
      <c r="R72" s="2">
        <v>103.67</v>
      </c>
      <c r="S72" s="2">
        <v>4.3593999999999999</v>
      </c>
      <c r="T72" s="2">
        <v>0.22939999999999999</v>
      </c>
      <c r="W72" s="2">
        <v>1.496</v>
      </c>
      <c r="X72" s="2" t="s">
        <v>195</v>
      </c>
    </row>
    <row r="73" spans="1:24" x14ac:dyDescent="0.35">
      <c r="A73" s="2" t="s">
        <v>37</v>
      </c>
      <c r="B73" s="2" t="s">
        <v>46</v>
      </c>
      <c r="C73" s="2" t="s">
        <v>88</v>
      </c>
      <c r="F73" s="2">
        <v>12</v>
      </c>
      <c r="G73" s="2">
        <v>6</v>
      </c>
      <c r="O73" s="2">
        <v>0.97550000000000003</v>
      </c>
      <c r="P73" s="2">
        <v>319.64999999999998</v>
      </c>
      <c r="S73" s="2">
        <v>4.3090999999999999</v>
      </c>
      <c r="T73" s="2">
        <v>0.2321</v>
      </c>
      <c r="X73" s="2" t="s">
        <v>195</v>
      </c>
    </row>
  </sheetData>
  <autoFilter ref="A1:W61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" customWidth="1"/>
    <col min="2" max="2" width="11" customWidth="1"/>
    <col min="3" max="3" width="25" customWidth="1"/>
    <col min="4" max="4" width="16" customWidth="1"/>
    <col min="5" max="5" width="12" customWidth="1"/>
    <col min="6" max="6" width="16" customWidth="1"/>
    <col min="7" max="8" width="10" customWidth="1"/>
    <col min="9" max="9" width="14" customWidth="1"/>
    <col min="10" max="10" width="15" customWidth="1"/>
    <col min="11" max="11" width="16" customWidth="1"/>
    <col min="12" max="12" width="17" customWidth="1"/>
    <col min="13" max="13" width="19" customWidth="1"/>
    <col min="14" max="14" width="24" customWidth="1"/>
    <col min="15" max="15" width="17" customWidth="1"/>
    <col min="16" max="16" width="18" customWidth="1"/>
    <col min="17" max="17" width="15" customWidth="1"/>
    <col min="18" max="18" width="10" customWidth="1"/>
    <col min="19" max="19" width="17" customWidth="1"/>
    <col min="20" max="20" width="11" customWidth="1"/>
    <col min="21" max="21" width="10" customWidth="1"/>
    <col min="22" max="22" width="20" customWidth="1"/>
    <col min="23" max="24" width="14" customWidth="1"/>
    <col min="25" max="25" width="17" customWidth="1"/>
    <col min="26" max="27" width="15" customWidth="1"/>
    <col min="28" max="28" width="18" customWidth="1"/>
    <col min="29" max="29" width="19" customWidth="1"/>
    <col min="30" max="30" width="25" customWidth="1"/>
    <col min="31" max="31" width="26" customWidth="1"/>
    <col min="32" max="32" width="12" customWidth="1"/>
  </cols>
  <sheetData>
    <row r="1" spans="1:32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89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14</v>
      </c>
      <c r="S1" s="1" t="s">
        <v>90</v>
      </c>
      <c r="T1" s="1" t="s">
        <v>23</v>
      </c>
      <c r="U1" s="1" t="s">
        <v>24</v>
      </c>
      <c r="V1" s="1" t="s">
        <v>25</v>
      </c>
      <c r="W1" s="1" t="s">
        <v>91</v>
      </c>
      <c r="X1" s="1" t="s">
        <v>92</v>
      </c>
      <c r="Y1" s="1" t="s">
        <v>93</v>
      </c>
      <c r="Z1" s="1" t="s">
        <v>94</v>
      </c>
      <c r="AA1" s="1" t="s">
        <v>95</v>
      </c>
      <c r="AB1" s="1" t="s">
        <v>96</v>
      </c>
      <c r="AC1" s="1" t="s">
        <v>97</v>
      </c>
      <c r="AD1" s="1" t="s">
        <v>98</v>
      </c>
      <c r="AE1" s="1" t="s">
        <v>99</v>
      </c>
      <c r="AF1" s="1" t="s">
        <v>100</v>
      </c>
    </row>
    <row r="2" spans="1:32" x14ac:dyDescent="0.35">
      <c r="A2" s="2" t="s">
        <v>34</v>
      </c>
      <c r="B2" s="2">
        <v>300</v>
      </c>
      <c r="C2" s="2" t="s">
        <v>34</v>
      </c>
      <c r="D2" s="2">
        <v>1</v>
      </c>
      <c r="F2" s="2" t="s">
        <v>101</v>
      </c>
      <c r="G2" s="3">
        <v>262144</v>
      </c>
      <c r="H2" s="3">
        <v>1024</v>
      </c>
      <c r="I2" s="3">
        <v>2097152</v>
      </c>
      <c r="J2" s="2">
        <v>8</v>
      </c>
      <c r="K2" s="2">
        <v>7621.5</v>
      </c>
      <c r="L2" s="2">
        <v>7559.1</v>
      </c>
      <c r="M2" s="2">
        <v>70.44</v>
      </c>
      <c r="N2" s="2">
        <v>76.8</v>
      </c>
      <c r="O2" s="2">
        <v>91.7</v>
      </c>
      <c r="P2" s="2">
        <v>70.400000000000006</v>
      </c>
      <c r="Q2" s="2">
        <v>70.400000000000006</v>
      </c>
      <c r="R2" s="2">
        <v>36.988</v>
      </c>
      <c r="S2" s="2">
        <v>0.98629999999999995</v>
      </c>
      <c r="T2" s="2">
        <v>8</v>
      </c>
      <c r="U2" s="2">
        <v>512</v>
      </c>
      <c r="V2" s="2">
        <v>0.1376</v>
      </c>
    </row>
    <row r="3" spans="1:32" x14ac:dyDescent="0.35">
      <c r="A3" s="2" t="s">
        <v>37</v>
      </c>
      <c r="B3" s="2">
        <v>300</v>
      </c>
      <c r="C3" s="2" t="s">
        <v>38</v>
      </c>
      <c r="D3" s="2">
        <v>2</v>
      </c>
      <c r="E3" s="2">
        <v>4</v>
      </c>
      <c r="F3" s="2" t="s">
        <v>101</v>
      </c>
      <c r="G3" s="3">
        <v>524288</v>
      </c>
      <c r="H3" s="3">
        <v>1024</v>
      </c>
      <c r="I3" s="3">
        <v>2097152</v>
      </c>
      <c r="J3" s="2">
        <v>4</v>
      </c>
      <c r="K3" s="2">
        <v>7839.7</v>
      </c>
      <c r="L3" s="2">
        <v>7774.5</v>
      </c>
      <c r="M3" s="2">
        <v>94.16</v>
      </c>
      <c r="N3" s="2">
        <v>105.6</v>
      </c>
      <c r="O3" s="2">
        <v>89.2</v>
      </c>
      <c r="P3" s="2">
        <v>137</v>
      </c>
      <c r="Q3" s="2">
        <v>68.5</v>
      </c>
      <c r="R3" s="2">
        <v>73.400000000000006</v>
      </c>
      <c r="S3" s="2">
        <v>0.97870000000000001</v>
      </c>
      <c r="T3" s="2">
        <v>11</v>
      </c>
      <c r="U3" s="2">
        <v>512</v>
      </c>
      <c r="V3" s="2">
        <v>0.26750000000000002</v>
      </c>
    </row>
    <row r="4" spans="1:32" x14ac:dyDescent="0.35">
      <c r="A4" s="2" t="s">
        <v>37</v>
      </c>
      <c r="B4" s="2">
        <v>300</v>
      </c>
      <c r="C4" s="2" t="s">
        <v>40</v>
      </c>
      <c r="D4" s="2">
        <v>3</v>
      </c>
      <c r="E4" s="2">
        <v>8</v>
      </c>
      <c r="F4" s="2" t="s">
        <v>101</v>
      </c>
      <c r="G4" s="3">
        <v>1048576</v>
      </c>
      <c r="H4" s="3">
        <v>1024</v>
      </c>
      <c r="I4" s="3">
        <v>2097152</v>
      </c>
      <c r="J4" s="2">
        <v>2</v>
      </c>
      <c r="K4" s="2">
        <v>7871.6</v>
      </c>
      <c r="L4" s="2">
        <v>7693.2</v>
      </c>
      <c r="M4" s="2">
        <v>93.78</v>
      </c>
      <c r="N4" s="2">
        <v>105.6</v>
      </c>
      <c r="O4" s="2">
        <v>88.8</v>
      </c>
      <c r="P4" s="2">
        <v>272.8</v>
      </c>
      <c r="Q4" s="2">
        <v>68.2</v>
      </c>
      <c r="R4" s="2">
        <v>146.43700000000001</v>
      </c>
      <c r="S4" s="2">
        <v>0.97619999999999996</v>
      </c>
      <c r="T4" s="2">
        <v>11</v>
      </c>
      <c r="U4" s="2">
        <v>512</v>
      </c>
      <c r="V4" s="2">
        <v>0.53280000000000005</v>
      </c>
    </row>
    <row r="5" spans="1:32" x14ac:dyDescent="0.35">
      <c r="A5" s="2" t="s">
        <v>37</v>
      </c>
      <c r="B5" s="2">
        <v>300</v>
      </c>
      <c r="C5" s="2" t="s">
        <v>42</v>
      </c>
      <c r="D5" s="2">
        <v>4</v>
      </c>
      <c r="E5" s="2">
        <v>16</v>
      </c>
      <c r="F5" s="2" t="s">
        <v>101</v>
      </c>
      <c r="G5" s="3">
        <v>2097152</v>
      </c>
      <c r="H5" s="3">
        <v>1024</v>
      </c>
      <c r="I5" s="3">
        <v>2097152</v>
      </c>
      <c r="J5" s="2">
        <v>1</v>
      </c>
      <c r="K5" s="3">
        <v>7923</v>
      </c>
      <c r="L5" s="2">
        <v>7777.4</v>
      </c>
      <c r="M5" s="2">
        <v>93.17</v>
      </c>
      <c r="N5" s="2">
        <v>105.6</v>
      </c>
      <c r="O5" s="2">
        <v>88.2</v>
      </c>
      <c r="P5" s="2">
        <v>542.1</v>
      </c>
      <c r="Q5" s="2">
        <v>67.8</v>
      </c>
      <c r="R5" s="2">
        <v>290.72899999999998</v>
      </c>
      <c r="S5" s="2">
        <v>0.96909999999999996</v>
      </c>
      <c r="T5" s="2">
        <v>11</v>
      </c>
      <c r="U5" s="2">
        <v>512</v>
      </c>
      <c r="V5" s="2">
        <v>1.0588</v>
      </c>
    </row>
    <row r="6" spans="1:32" x14ac:dyDescent="0.35">
      <c r="A6" s="2" t="s">
        <v>37</v>
      </c>
      <c r="B6" s="2">
        <v>300</v>
      </c>
      <c r="C6" s="2" t="s">
        <v>44</v>
      </c>
      <c r="D6" s="2">
        <v>5</v>
      </c>
      <c r="E6" s="2">
        <v>32</v>
      </c>
      <c r="F6" s="2" t="s">
        <v>101</v>
      </c>
      <c r="G6" s="3">
        <v>4194304</v>
      </c>
      <c r="H6" s="3">
        <v>1024</v>
      </c>
      <c r="I6" s="3">
        <v>2097152</v>
      </c>
      <c r="J6" s="2">
        <v>0.5</v>
      </c>
      <c r="K6" s="2">
        <v>8047.5</v>
      </c>
      <c r="L6" s="2">
        <v>7905.6</v>
      </c>
      <c r="M6" s="2">
        <v>91.73</v>
      </c>
      <c r="N6" s="2">
        <v>105.6</v>
      </c>
      <c r="O6" s="2">
        <v>86.9</v>
      </c>
      <c r="P6" s="2">
        <v>1067.4000000000001</v>
      </c>
      <c r="Q6" s="2">
        <v>66.7</v>
      </c>
      <c r="R6" s="2">
        <v>578.16200000000003</v>
      </c>
      <c r="S6" s="2">
        <v>0.96360000000000001</v>
      </c>
      <c r="T6" s="2">
        <v>11</v>
      </c>
      <c r="U6" s="2">
        <v>512</v>
      </c>
      <c r="V6" s="2">
        <v>2.0848</v>
      </c>
    </row>
    <row r="7" spans="1:32" x14ac:dyDescent="0.35">
      <c r="A7" s="2" t="s">
        <v>37</v>
      </c>
      <c r="B7" s="2">
        <v>225</v>
      </c>
      <c r="C7" s="2" t="s">
        <v>38</v>
      </c>
      <c r="D7" s="2">
        <v>2</v>
      </c>
      <c r="E7" s="2">
        <v>4</v>
      </c>
      <c r="F7" s="2" t="s">
        <v>101</v>
      </c>
      <c r="G7" s="3">
        <v>524288</v>
      </c>
      <c r="H7" s="3">
        <v>1024</v>
      </c>
      <c r="I7" s="3">
        <v>2097152</v>
      </c>
      <c r="J7" s="2">
        <v>4</v>
      </c>
      <c r="K7" s="2">
        <v>10139.799999999999</v>
      </c>
      <c r="L7" s="2">
        <v>9977.4</v>
      </c>
      <c r="M7" s="2">
        <v>72.8</v>
      </c>
      <c r="N7" s="2">
        <v>79.2</v>
      </c>
      <c r="O7" s="2">
        <v>91.9</v>
      </c>
      <c r="P7" s="2">
        <v>105.9</v>
      </c>
      <c r="Q7" s="2">
        <v>52.9</v>
      </c>
      <c r="R7" s="2">
        <v>56.033000000000001</v>
      </c>
      <c r="S7" s="2">
        <v>0.99609999999999999</v>
      </c>
      <c r="T7" s="2">
        <v>11</v>
      </c>
      <c r="U7" s="2">
        <v>512</v>
      </c>
      <c r="V7" s="2">
        <v>0.20680000000000001</v>
      </c>
    </row>
    <row r="8" spans="1:32" x14ac:dyDescent="0.35">
      <c r="A8" s="2" t="s">
        <v>37</v>
      </c>
      <c r="B8" s="2">
        <v>225</v>
      </c>
      <c r="C8" s="2" t="s">
        <v>40</v>
      </c>
      <c r="D8" s="2">
        <v>3</v>
      </c>
      <c r="E8" s="2">
        <v>8</v>
      </c>
      <c r="F8" s="2" t="s">
        <v>101</v>
      </c>
      <c r="G8" s="3">
        <v>1048576</v>
      </c>
      <c r="H8" s="3">
        <v>1024</v>
      </c>
      <c r="I8" s="3">
        <v>2097152</v>
      </c>
      <c r="J8" s="2">
        <v>2</v>
      </c>
      <c r="K8" s="2">
        <v>10281.799999999999</v>
      </c>
      <c r="L8" s="2">
        <v>10101.200000000001</v>
      </c>
      <c r="M8" s="2">
        <v>71.8</v>
      </c>
      <c r="N8" s="2">
        <v>79.2</v>
      </c>
      <c r="O8" s="2">
        <v>90.7</v>
      </c>
      <c r="P8" s="2">
        <v>208.9</v>
      </c>
      <c r="Q8" s="2">
        <v>52.2</v>
      </c>
      <c r="R8" s="2">
        <v>109.874</v>
      </c>
      <c r="S8" s="2">
        <v>0.97670000000000001</v>
      </c>
      <c r="T8" s="2">
        <v>11</v>
      </c>
      <c r="U8" s="2">
        <v>512</v>
      </c>
      <c r="V8" s="2">
        <v>0.40789999999999998</v>
      </c>
    </row>
    <row r="9" spans="1:32" x14ac:dyDescent="0.35">
      <c r="A9" s="2" t="s">
        <v>37</v>
      </c>
      <c r="B9" s="2">
        <v>225</v>
      </c>
      <c r="C9" s="2" t="s">
        <v>42</v>
      </c>
      <c r="D9" s="2">
        <v>4</v>
      </c>
      <c r="E9" s="2">
        <v>16</v>
      </c>
      <c r="F9" s="2" t="s">
        <v>101</v>
      </c>
      <c r="G9" s="3">
        <v>2097152</v>
      </c>
      <c r="H9" s="3">
        <v>1024</v>
      </c>
      <c r="I9" s="3">
        <v>2097152</v>
      </c>
      <c r="J9" s="2">
        <v>1</v>
      </c>
      <c r="K9" s="2">
        <v>10287.700000000001</v>
      </c>
      <c r="L9" s="2">
        <v>10099.299999999999</v>
      </c>
      <c r="M9" s="2">
        <v>71.760000000000005</v>
      </c>
      <c r="N9" s="2">
        <v>79.2</v>
      </c>
      <c r="O9" s="2">
        <v>90.6</v>
      </c>
      <c r="P9" s="2">
        <v>417.5</v>
      </c>
      <c r="Q9" s="2">
        <v>52.2</v>
      </c>
      <c r="R9" s="2">
        <v>220.34700000000001</v>
      </c>
      <c r="S9" s="2">
        <v>0.97929999999999995</v>
      </c>
      <c r="T9" s="2">
        <v>11</v>
      </c>
      <c r="U9" s="2">
        <v>512</v>
      </c>
      <c r="V9" s="2">
        <v>0.81540000000000001</v>
      </c>
    </row>
    <row r="10" spans="1:32" x14ac:dyDescent="0.35">
      <c r="A10" s="2" t="s">
        <v>37</v>
      </c>
      <c r="B10" s="2">
        <v>225</v>
      </c>
      <c r="C10" s="2" t="s">
        <v>44</v>
      </c>
      <c r="D10" s="2">
        <v>5</v>
      </c>
      <c r="E10" s="2">
        <v>32</v>
      </c>
      <c r="F10" s="2" t="s">
        <v>101</v>
      </c>
      <c r="G10" s="3">
        <v>4194304</v>
      </c>
      <c r="H10" s="3">
        <v>1024</v>
      </c>
      <c r="I10" s="3">
        <v>2097152</v>
      </c>
      <c r="J10" s="2">
        <v>0.5</v>
      </c>
      <c r="K10" s="2">
        <v>10403.4</v>
      </c>
      <c r="L10" s="2">
        <v>10231.299999999999</v>
      </c>
      <c r="M10" s="2">
        <v>70.959999999999994</v>
      </c>
      <c r="N10" s="2">
        <v>79.2</v>
      </c>
      <c r="O10" s="2">
        <v>89.6</v>
      </c>
      <c r="P10" s="2">
        <v>825.7</v>
      </c>
      <c r="Q10" s="2">
        <v>51.6</v>
      </c>
      <c r="R10" s="2">
        <v>431.13200000000001</v>
      </c>
      <c r="S10" s="2">
        <v>0.95809999999999995</v>
      </c>
      <c r="T10" s="2">
        <v>11</v>
      </c>
      <c r="U10" s="2">
        <v>512</v>
      </c>
      <c r="V10" s="2">
        <v>1.6127</v>
      </c>
    </row>
    <row r="11" spans="1:32" x14ac:dyDescent="0.35">
      <c r="A11" s="2" t="s">
        <v>34</v>
      </c>
      <c r="B11" s="2">
        <v>300</v>
      </c>
      <c r="C11" s="2" t="s">
        <v>34</v>
      </c>
      <c r="D11" s="2">
        <v>1</v>
      </c>
      <c r="F11" s="2" t="s">
        <v>102</v>
      </c>
      <c r="H11" s="3">
        <v>1024</v>
      </c>
      <c r="I11" s="3">
        <v>2097152</v>
      </c>
      <c r="J11" s="2">
        <v>8</v>
      </c>
      <c r="P11" s="2">
        <v>72.2</v>
      </c>
      <c r="Q11" s="2">
        <v>72.2</v>
      </c>
      <c r="R11" s="2">
        <v>35.265000000000001</v>
      </c>
      <c r="T11" s="2">
        <v>8</v>
      </c>
      <c r="U11" s="2">
        <v>512</v>
      </c>
      <c r="V11" s="2">
        <v>0.1411</v>
      </c>
      <c r="W11" s="2">
        <v>31.297000000000001</v>
      </c>
      <c r="X11" s="2">
        <v>26.923999999999999</v>
      </c>
      <c r="Y11" s="2">
        <v>4.3730000000000002</v>
      </c>
      <c r="Z11" s="2">
        <v>7.7309999999999999</v>
      </c>
      <c r="AA11" s="2">
        <v>6.657</v>
      </c>
      <c r="AB11" s="2">
        <v>1.0740000000000001</v>
      </c>
      <c r="AC11" s="2">
        <v>3.1389999999999998</v>
      </c>
      <c r="AD11" s="2">
        <v>887.5</v>
      </c>
      <c r="AE11" s="2">
        <v>219.2</v>
      </c>
      <c r="AF11" s="2">
        <v>1.1539999999999999</v>
      </c>
    </row>
    <row r="12" spans="1:32" x14ac:dyDescent="0.35">
      <c r="A12" s="2" t="s">
        <v>34</v>
      </c>
      <c r="B12" s="2">
        <v>325</v>
      </c>
      <c r="C12" s="2" t="s">
        <v>34</v>
      </c>
      <c r="D12" s="2">
        <v>1</v>
      </c>
      <c r="F12" s="2" t="s">
        <v>102</v>
      </c>
      <c r="H12" s="3">
        <v>1024</v>
      </c>
      <c r="I12" s="3">
        <v>2097152</v>
      </c>
      <c r="J12" s="2">
        <v>8</v>
      </c>
      <c r="P12" s="2">
        <v>78</v>
      </c>
      <c r="Q12" s="2">
        <v>78</v>
      </c>
      <c r="R12" s="2">
        <v>38.094000000000001</v>
      </c>
      <c r="T12" s="2">
        <v>8</v>
      </c>
      <c r="U12" s="2">
        <v>512</v>
      </c>
      <c r="V12" s="2">
        <v>0.15240000000000001</v>
      </c>
      <c r="W12" s="2">
        <v>31.724</v>
      </c>
      <c r="X12" s="2">
        <v>27.077000000000002</v>
      </c>
      <c r="Y12" s="2">
        <v>4.6470000000000002</v>
      </c>
      <c r="Z12" s="2">
        <v>7.8090000000000002</v>
      </c>
      <c r="AA12" s="2">
        <v>6.7640000000000002</v>
      </c>
      <c r="AB12" s="2">
        <v>1.0449999999999999</v>
      </c>
      <c r="AC12" s="2">
        <v>3.4460000000000002</v>
      </c>
      <c r="AD12" s="2">
        <v>832.8</v>
      </c>
      <c r="AE12" s="2">
        <v>205</v>
      </c>
      <c r="AF12" s="2">
        <v>1.23</v>
      </c>
    </row>
    <row r="13" spans="1:32" x14ac:dyDescent="0.35">
      <c r="A13" s="2" t="s">
        <v>37</v>
      </c>
      <c r="B13" s="2">
        <v>300</v>
      </c>
      <c r="C13" s="2" t="s">
        <v>38</v>
      </c>
      <c r="D13" s="2">
        <v>2</v>
      </c>
      <c r="E13" s="2">
        <v>4</v>
      </c>
      <c r="F13" s="2" t="s">
        <v>102</v>
      </c>
      <c r="H13" s="3">
        <v>1024</v>
      </c>
      <c r="I13" s="3">
        <v>2097152</v>
      </c>
      <c r="J13" s="2">
        <v>4</v>
      </c>
      <c r="P13" s="2">
        <v>142.9</v>
      </c>
      <c r="Q13" s="2">
        <v>71.400000000000006</v>
      </c>
      <c r="R13" s="2">
        <v>69.771000000000001</v>
      </c>
      <c r="T13" s="2">
        <v>11</v>
      </c>
      <c r="U13" s="2">
        <v>512</v>
      </c>
      <c r="V13" s="2">
        <v>0.27910000000000001</v>
      </c>
      <c r="W13" s="2">
        <v>35.442</v>
      </c>
      <c r="X13" s="2">
        <v>30.138000000000002</v>
      </c>
      <c r="Y13" s="2">
        <v>5.3040000000000003</v>
      </c>
      <c r="Z13" s="2">
        <v>7.7560000000000002</v>
      </c>
      <c r="AA13" s="2">
        <v>7.0949999999999998</v>
      </c>
      <c r="AB13" s="2">
        <v>0.66100000000000003</v>
      </c>
      <c r="AC13" s="2">
        <v>4.5439999999999996</v>
      </c>
      <c r="AD13" s="2">
        <v>508</v>
      </c>
      <c r="AE13" s="2">
        <v>111.2</v>
      </c>
      <c r="AF13" s="2">
        <v>2.016</v>
      </c>
    </row>
    <row r="14" spans="1:32" x14ac:dyDescent="0.35">
      <c r="A14" s="2" t="s">
        <v>37</v>
      </c>
      <c r="B14" s="2">
        <v>325</v>
      </c>
      <c r="C14" s="2" t="s">
        <v>38</v>
      </c>
      <c r="D14" s="2">
        <v>2</v>
      </c>
      <c r="E14" s="2">
        <v>4</v>
      </c>
      <c r="F14" s="2" t="s">
        <v>102</v>
      </c>
      <c r="H14" s="3">
        <v>1024</v>
      </c>
      <c r="I14" s="3">
        <v>2097152</v>
      </c>
      <c r="J14" s="2">
        <v>4</v>
      </c>
      <c r="P14" s="2">
        <v>155.5</v>
      </c>
      <c r="Q14" s="2">
        <v>77.7</v>
      </c>
      <c r="R14" s="2">
        <v>75.918999999999997</v>
      </c>
      <c r="T14" s="2">
        <v>11</v>
      </c>
      <c r="U14" s="2">
        <v>512</v>
      </c>
      <c r="V14" s="2">
        <v>0.30370000000000003</v>
      </c>
      <c r="W14" s="2">
        <v>35.994</v>
      </c>
      <c r="X14" s="2">
        <v>30.164999999999999</v>
      </c>
      <c r="Y14" s="2">
        <v>5.8289999999999997</v>
      </c>
      <c r="Z14" s="2">
        <v>7.9109999999999996</v>
      </c>
      <c r="AA14" s="2">
        <v>7.1260000000000003</v>
      </c>
      <c r="AB14" s="2">
        <v>0.78500000000000003</v>
      </c>
      <c r="AC14" s="2">
        <v>4.9269999999999996</v>
      </c>
      <c r="AD14" s="2">
        <v>474.1</v>
      </c>
      <c r="AE14" s="2">
        <v>104.2</v>
      </c>
      <c r="AF14" s="2">
        <v>2.16</v>
      </c>
    </row>
    <row r="15" spans="1:32" x14ac:dyDescent="0.35">
      <c r="A15" s="2" t="s">
        <v>37</v>
      </c>
      <c r="B15" s="2">
        <v>300</v>
      </c>
      <c r="C15" s="2" t="s">
        <v>40</v>
      </c>
      <c r="D15" s="2">
        <v>3</v>
      </c>
      <c r="E15" s="2">
        <v>8</v>
      </c>
      <c r="F15" s="2" t="s">
        <v>102</v>
      </c>
      <c r="H15" s="3">
        <v>1024</v>
      </c>
      <c r="I15" s="3">
        <v>2097152</v>
      </c>
      <c r="J15" s="2">
        <v>2</v>
      </c>
      <c r="P15" s="2">
        <v>285.2</v>
      </c>
      <c r="Q15" s="2">
        <v>71.3</v>
      </c>
      <c r="R15" s="2">
        <v>139.26599999999999</v>
      </c>
      <c r="T15" s="2">
        <v>11</v>
      </c>
      <c r="U15" s="2">
        <v>512</v>
      </c>
      <c r="V15" s="2">
        <v>0.55710000000000004</v>
      </c>
      <c r="W15" s="2">
        <v>35.326999999999998</v>
      </c>
      <c r="X15" s="2">
        <v>30.114999999999998</v>
      </c>
      <c r="Y15" s="2">
        <v>5.2119999999999997</v>
      </c>
      <c r="Z15" s="2">
        <v>7.8230000000000004</v>
      </c>
      <c r="AA15" s="2">
        <v>7.17</v>
      </c>
      <c r="AB15" s="2">
        <v>0.65300000000000002</v>
      </c>
      <c r="AC15" s="2">
        <v>4.4610000000000003</v>
      </c>
      <c r="AD15" s="2">
        <v>253.7</v>
      </c>
      <c r="AE15" s="2">
        <v>56.2</v>
      </c>
      <c r="AF15" s="2">
        <v>4.0369999999999999</v>
      </c>
    </row>
    <row r="16" spans="1:32" x14ac:dyDescent="0.35">
      <c r="A16" s="2" t="s">
        <v>37</v>
      </c>
      <c r="B16" s="2">
        <v>325</v>
      </c>
      <c r="C16" s="2" t="s">
        <v>40</v>
      </c>
      <c r="D16" s="2">
        <v>3</v>
      </c>
      <c r="E16" s="2">
        <v>8</v>
      </c>
      <c r="F16" s="2" t="s">
        <v>102</v>
      </c>
      <c r="H16" s="3">
        <v>1024</v>
      </c>
      <c r="I16" s="3">
        <v>2097152</v>
      </c>
      <c r="J16" s="2">
        <v>2</v>
      </c>
      <c r="P16" s="2">
        <v>307.7</v>
      </c>
      <c r="Q16" s="2">
        <v>76.900000000000006</v>
      </c>
      <c r="R16" s="2">
        <v>150.23500000000001</v>
      </c>
      <c r="T16" s="2">
        <v>11</v>
      </c>
      <c r="U16" s="2">
        <v>512</v>
      </c>
      <c r="V16" s="2">
        <v>0.60089999999999999</v>
      </c>
      <c r="W16" s="2">
        <v>35.451999999999998</v>
      </c>
      <c r="X16" s="2">
        <v>30.164000000000001</v>
      </c>
      <c r="Y16" s="2">
        <v>5.2880000000000003</v>
      </c>
      <c r="Z16" s="2">
        <v>7.9509999999999996</v>
      </c>
      <c r="AA16" s="2">
        <v>7.1769999999999996</v>
      </c>
      <c r="AB16" s="2">
        <v>0.77400000000000002</v>
      </c>
      <c r="AC16" s="2">
        <v>4.3979999999999997</v>
      </c>
      <c r="AD16" s="2">
        <v>236</v>
      </c>
      <c r="AE16" s="2">
        <v>52.9</v>
      </c>
      <c r="AF16" s="2">
        <v>4.3390000000000004</v>
      </c>
    </row>
    <row r="17" spans="1:32" x14ac:dyDescent="0.35">
      <c r="A17" s="2" t="s">
        <v>37</v>
      </c>
      <c r="B17" s="2">
        <v>300</v>
      </c>
      <c r="C17" s="2" t="s">
        <v>42</v>
      </c>
      <c r="D17" s="2">
        <v>4</v>
      </c>
      <c r="E17" s="2">
        <v>16</v>
      </c>
      <c r="F17" s="2" t="s">
        <v>102</v>
      </c>
      <c r="H17" s="3">
        <v>1024</v>
      </c>
      <c r="I17" s="3">
        <v>2097152</v>
      </c>
      <c r="J17" s="2">
        <v>1</v>
      </c>
      <c r="P17" s="2">
        <v>565</v>
      </c>
      <c r="Q17" s="2">
        <v>70.599999999999994</v>
      </c>
      <c r="R17" s="2">
        <v>275.86399999999998</v>
      </c>
      <c r="T17" s="2">
        <v>11</v>
      </c>
      <c r="U17" s="2">
        <v>512</v>
      </c>
      <c r="V17" s="2">
        <v>1.1034999999999999</v>
      </c>
      <c r="W17" s="2">
        <v>35.412999999999997</v>
      </c>
      <c r="X17" s="2">
        <v>30.225999999999999</v>
      </c>
      <c r="Y17" s="2">
        <v>5.1870000000000003</v>
      </c>
      <c r="Z17" s="2">
        <v>7.9089999999999998</v>
      </c>
      <c r="AA17" s="2">
        <v>7.1719999999999997</v>
      </c>
      <c r="AB17" s="2">
        <v>0.73699999999999999</v>
      </c>
      <c r="AC17" s="2">
        <v>4.34</v>
      </c>
      <c r="AD17" s="2">
        <v>128.4</v>
      </c>
      <c r="AE17" s="2">
        <v>28.7</v>
      </c>
      <c r="AF17" s="2">
        <v>7.9770000000000003</v>
      </c>
    </row>
    <row r="18" spans="1:32" x14ac:dyDescent="0.35">
      <c r="A18" s="2" t="s">
        <v>37</v>
      </c>
      <c r="B18" s="2">
        <v>325</v>
      </c>
      <c r="C18" s="2" t="s">
        <v>42</v>
      </c>
      <c r="D18" s="2">
        <v>4</v>
      </c>
      <c r="E18" s="2">
        <v>16</v>
      </c>
      <c r="F18" s="2" t="s">
        <v>102</v>
      </c>
      <c r="H18" s="3">
        <v>1024</v>
      </c>
      <c r="I18" s="3">
        <v>2097152</v>
      </c>
      <c r="J18" s="2">
        <v>1</v>
      </c>
      <c r="P18" s="2">
        <v>609.20000000000005</v>
      </c>
      <c r="Q18" s="2">
        <v>76.099999999999994</v>
      </c>
      <c r="R18" s="2">
        <v>297.452</v>
      </c>
      <c r="T18" s="2">
        <v>11</v>
      </c>
      <c r="U18" s="2">
        <v>512</v>
      </c>
      <c r="V18" s="2">
        <v>1.1898</v>
      </c>
      <c r="W18" s="2">
        <v>36.084000000000003</v>
      </c>
      <c r="X18" s="2">
        <v>30.201000000000001</v>
      </c>
      <c r="Y18" s="2">
        <v>5.883</v>
      </c>
      <c r="Z18" s="2">
        <v>8.0370000000000008</v>
      </c>
      <c r="AA18" s="2">
        <v>7.21</v>
      </c>
      <c r="AB18" s="2">
        <v>0.82699999999999996</v>
      </c>
      <c r="AC18" s="2">
        <v>4.9320000000000004</v>
      </c>
      <c r="AD18" s="2">
        <v>121.3</v>
      </c>
      <c r="AE18" s="2">
        <v>27</v>
      </c>
      <c r="AF18" s="2">
        <v>8.4410000000000007</v>
      </c>
    </row>
    <row r="19" spans="1:32" x14ac:dyDescent="0.35">
      <c r="A19" s="2" t="s">
        <v>37</v>
      </c>
      <c r="B19" s="2">
        <v>300</v>
      </c>
      <c r="C19" s="2" t="s">
        <v>44</v>
      </c>
      <c r="D19" s="2">
        <v>5</v>
      </c>
      <c r="E19" s="2">
        <v>32</v>
      </c>
      <c r="F19" s="2" t="s">
        <v>102</v>
      </c>
      <c r="H19" s="3">
        <v>1024</v>
      </c>
      <c r="I19" s="3">
        <v>2097152</v>
      </c>
      <c r="J19" s="2">
        <v>0.5</v>
      </c>
      <c r="P19" s="3">
        <v>1117</v>
      </c>
      <c r="Q19" s="2">
        <v>69.8</v>
      </c>
      <c r="R19" s="2">
        <v>545.41700000000003</v>
      </c>
      <c r="T19" s="2">
        <v>11</v>
      </c>
      <c r="U19" s="2">
        <v>512</v>
      </c>
      <c r="V19" s="2">
        <v>2.1817000000000002</v>
      </c>
      <c r="W19" s="2">
        <v>35.521000000000001</v>
      </c>
      <c r="X19" s="2">
        <v>30.138000000000002</v>
      </c>
      <c r="Y19" s="2">
        <v>5.383</v>
      </c>
      <c r="Z19" s="2">
        <v>7.9059999999999997</v>
      </c>
      <c r="AA19" s="2">
        <v>7.2489999999999997</v>
      </c>
      <c r="AB19" s="2">
        <v>0.65700000000000003</v>
      </c>
      <c r="AC19" s="2">
        <v>4.6280000000000001</v>
      </c>
      <c r="AD19" s="2">
        <v>65.099999999999994</v>
      </c>
      <c r="AE19" s="2">
        <v>14.5</v>
      </c>
      <c r="AF19" s="2">
        <v>15.723000000000001</v>
      </c>
    </row>
    <row r="20" spans="1:32" x14ac:dyDescent="0.35">
      <c r="A20" s="2" t="s">
        <v>37</v>
      </c>
      <c r="B20" s="2">
        <v>325</v>
      </c>
      <c r="C20" s="2" t="s">
        <v>44</v>
      </c>
      <c r="D20" s="2">
        <v>5</v>
      </c>
      <c r="E20" s="2">
        <v>32</v>
      </c>
      <c r="F20" s="2" t="s">
        <v>102</v>
      </c>
      <c r="H20" s="3">
        <v>1024</v>
      </c>
      <c r="I20" s="3">
        <v>2097152</v>
      </c>
      <c r="J20" s="2">
        <v>0.5</v>
      </c>
      <c r="P20" s="2">
        <v>1211.0999999999999</v>
      </c>
      <c r="Q20" s="2">
        <v>75.7</v>
      </c>
      <c r="R20" s="2">
        <v>591.37099999999998</v>
      </c>
      <c r="T20" s="2">
        <v>11</v>
      </c>
      <c r="U20" s="2">
        <v>512</v>
      </c>
      <c r="V20" s="2">
        <v>2.3654999999999999</v>
      </c>
      <c r="W20" s="2">
        <v>36.338000000000001</v>
      </c>
      <c r="X20" s="2">
        <v>30.335999999999999</v>
      </c>
      <c r="Y20" s="2">
        <v>6.0019999999999998</v>
      </c>
      <c r="Z20" s="2">
        <v>8.0579999999999998</v>
      </c>
      <c r="AA20" s="2">
        <v>7.2610000000000001</v>
      </c>
      <c r="AB20" s="2">
        <v>0.79700000000000004</v>
      </c>
      <c r="AC20" s="2">
        <v>5.0860000000000003</v>
      </c>
      <c r="AD20" s="2">
        <v>61.4</v>
      </c>
      <c r="AE20" s="2">
        <v>13.6</v>
      </c>
      <c r="AF20" s="2">
        <v>16.664999999999999</v>
      </c>
    </row>
    <row r="21" spans="1:32" x14ac:dyDescent="0.35">
      <c r="A21" s="2" t="s">
        <v>37</v>
      </c>
      <c r="B21" s="2">
        <v>300</v>
      </c>
      <c r="C21" s="2" t="s">
        <v>103</v>
      </c>
      <c r="D21" s="2">
        <v>99</v>
      </c>
      <c r="F21" s="2" t="s">
        <v>104</v>
      </c>
      <c r="G21" s="3">
        <v>1048576</v>
      </c>
      <c r="H21" s="3">
        <v>1024</v>
      </c>
      <c r="I21" s="3">
        <v>1966080</v>
      </c>
      <c r="J21" s="2">
        <v>1.875</v>
      </c>
      <c r="K21" s="2">
        <v>7417.2</v>
      </c>
      <c r="L21" s="2">
        <v>7400.7</v>
      </c>
      <c r="M21" s="2">
        <v>93.587999999999994</v>
      </c>
      <c r="N21" s="2">
        <v>105.6</v>
      </c>
      <c r="O21" s="2">
        <v>88.6</v>
      </c>
      <c r="P21" s="2">
        <v>289.5</v>
      </c>
      <c r="Q21" s="2">
        <v>67.900000000000006</v>
      </c>
      <c r="R21" s="2">
        <v>141.37100000000001</v>
      </c>
      <c r="S21" s="2">
        <v>0.97570000000000001</v>
      </c>
      <c r="T21" s="2">
        <v>11</v>
      </c>
      <c r="U21" s="2">
        <v>512</v>
      </c>
      <c r="V21" s="2">
        <v>0.5655</v>
      </c>
    </row>
  </sheetData>
  <autoFilter ref="A1:AF21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" customWidth="1"/>
    <col min="2" max="2" width="10" customWidth="1"/>
    <col min="3" max="3" width="15" customWidth="1"/>
    <col min="4" max="4" width="10" customWidth="1"/>
    <col min="5" max="6" width="15" customWidth="1"/>
    <col min="7" max="8" width="10" customWidth="1"/>
    <col min="9" max="9" width="14" customWidth="1"/>
    <col min="10" max="10" width="29" customWidth="1"/>
    <col min="11" max="11" width="22" customWidth="1"/>
    <col min="12" max="12" width="16" customWidth="1"/>
    <col min="13" max="13" width="15" customWidth="1"/>
    <col min="14" max="14" width="10" customWidth="1"/>
    <col min="15" max="15" width="21" customWidth="1"/>
    <col min="16" max="16" width="14" customWidth="1"/>
    <col min="17" max="17" width="15" customWidth="1"/>
    <col min="18" max="18" width="12" customWidth="1"/>
    <col min="19" max="19" width="21" customWidth="1"/>
    <col min="20" max="20" width="30" customWidth="1"/>
    <col min="21" max="21" width="18" customWidth="1"/>
  </cols>
  <sheetData>
    <row r="1" spans="1:21" ht="30" customHeight="1" x14ac:dyDescent="0.35">
      <c r="A1" s="1" t="s">
        <v>105</v>
      </c>
      <c r="B1" s="1" t="s">
        <v>106</v>
      </c>
      <c r="C1" s="1" t="s">
        <v>107</v>
      </c>
      <c r="D1" s="1" t="s">
        <v>2</v>
      </c>
      <c r="E1" s="1" t="s">
        <v>108</v>
      </c>
      <c r="F1" s="1" t="s">
        <v>109</v>
      </c>
      <c r="G1" s="1" t="s">
        <v>110</v>
      </c>
      <c r="H1" s="1" t="s">
        <v>111</v>
      </c>
      <c r="I1" s="1" t="s">
        <v>8</v>
      </c>
      <c r="J1" s="1" t="s">
        <v>112</v>
      </c>
      <c r="K1" s="1" t="s">
        <v>113</v>
      </c>
      <c r="L1" s="1" t="s">
        <v>114</v>
      </c>
      <c r="M1" s="1" t="s">
        <v>64</v>
      </c>
      <c r="N1" s="1" t="s">
        <v>14</v>
      </c>
      <c r="O1" s="1" t="s">
        <v>115</v>
      </c>
      <c r="P1" s="1" t="s">
        <v>116</v>
      </c>
      <c r="Q1" s="1" t="s">
        <v>117</v>
      </c>
      <c r="R1" s="1" t="s">
        <v>13</v>
      </c>
      <c r="S1" s="1" t="s">
        <v>118</v>
      </c>
      <c r="T1" s="1" t="s">
        <v>119</v>
      </c>
      <c r="U1" s="1" t="s">
        <v>18</v>
      </c>
    </row>
    <row r="2" spans="1:21" x14ac:dyDescent="0.35">
      <c r="A2" s="2" t="s">
        <v>120</v>
      </c>
      <c r="B2" s="2">
        <v>0</v>
      </c>
      <c r="C2" s="2" t="s">
        <v>121</v>
      </c>
      <c r="D2" s="2" t="s">
        <v>38</v>
      </c>
      <c r="E2" s="2">
        <v>8</v>
      </c>
      <c r="F2" s="2">
        <v>256</v>
      </c>
      <c r="G2" s="3">
        <v>4096</v>
      </c>
      <c r="H2" s="3">
        <v>262144</v>
      </c>
      <c r="I2" s="3">
        <v>1048576</v>
      </c>
      <c r="J2" s="2">
        <v>3.4060000000000002E-3</v>
      </c>
      <c r="K2" s="2">
        <v>3571.4</v>
      </c>
    </row>
    <row r="3" spans="1:21" x14ac:dyDescent="0.35">
      <c r="A3" s="2" t="s">
        <v>120</v>
      </c>
      <c r="B3" s="2">
        <v>1</v>
      </c>
      <c r="C3" s="2" t="s">
        <v>122</v>
      </c>
      <c r="D3" s="2" t="s">
        <v>40</v>
      </c>
      <c r="E3" s="2">
        <v>4</v>
      </c>
      <c r="F3" s="2">
        <v>128</v>
      </c>
      <c r="G3" s="3">
        <v>4096</v>
      </c>
      <c r="H3" s="3">
        <v>262144</v>
      </c>
      <c r="I3" s="3">
        <v>524288</v>
      </c>
      <c r="J3" s="2">
        <v>3.4139999999999999E-3</v>
      </c>
      <c r="K3" s="2">
        <v>1789.9</v>
      </c>
    </row>
    <row r="4" spans="1:21" x14ac:dyDescent="0.35">
      <c r="A4" s="2" t="s">
        <v>120</v>
      </c>
      <c r="B4" s="2">
        <v>2</v>
      </c>
      <c r="C4" s="2" t="s">
        <v>123</v>
      </c>
      <c r="D4" s="2" t="s">
        <v>42</v>
      </c>
      <c r="E4" s="2">
        <v>2</v>
      </c>
      <c r="F4" s="2">
        <v>64</v>
      </c>
      <c r="G4" s="3">
        <v>4096</v>
      </c>
      <c r="H4" s="3">
        <v>262144</v>
      </c>
      <c r="I4" s="3">
        <v>262144</v>
      </c>
      <c r="J4" s="2">
        <v>3.4399999999999999E-3</v>
      </c>
      <c r="K4" s="2">
        <v>901.8</v>
      </c>
    </row>
    <row r="5" spans="1:21" x14ac:dyDescent="0.35">
      <c r="A5" s="2" t="s">
        <v>120</v>
      </c>
      <c r="B5" s="2">
        <v>3</v>
      </c>
      <c r="C5" s="2" t="s">
        <v>124</v>
      </c>
      <c r="D5" s="2" t="s">
        <v>44</v>
      </c>
      <c r="E5" s="2">
        <v>1</v>
      </c>
      <c r="F5" s="2">
        <v>32</v>
      </c>
      <c r="G5" s="3">
        <v>4096</v>
      </c>
      <c r="H5" s="3">
        <v>262144</v>
      </c>
      <c r="I5" s="3">
        <v>131072</v>
      </c>
      <c r="J5" s="2">
        <v>3.4589999999999998E-3</v>
      </c>
      <c r="K5" s="2">
        <v>453.4</v>
      </c>
    </row>
    <row r="6" spans="1:21" x14ac:dyDescent="0.35">
      <c r="A6" s="2" t="s">
        <v>125</v>
      </c>
      <c r="D6" s="2" t="s">
        <v>46</v>
      </c>
      <c r="G6" s="3">
        <v>16384</v>
      </c>
      <c r="H6" s="3">
        <v>1048576</v>
      </c>
      <c r="I6" s="3">
        <v>1966080</v>
      </c>
      <c r="K6" s="2">
        <v>6716.5</v>
      </c>
    </row>
    <row r="7" spans="1:21" x14ac:dyDescent="0.35">
      <c r="A7" s="2" t="s">
        <v>126</v>
      </c>
      <c r="B7" s="2">
        <v>1</v>
      </c>
      <c r="D7" s="2" t="s">
        <v>46</v>
      </c>
      <c r="H7" s="3">
        <v>1048576</v>
      </c>
      <c r="I7" s="3">
        <v>1966080</v>
      </c>
      <c r="L7" s="2">
        <v>7400.701</v>
      </c>
      <c r="M7" s="2">
        <v>93.796000000000006</v>
      </c>
      <c r="N7" s="2">
        <v>141.68600000000001</v>
      </c>
      <c r="O7" s="2">
        <v>0.88600000000000001</v>
      </c>
    </row>
    <row r="8" spans="1:21" x14ac:dyDescent="0.35">
      <c r="A8" s="2" t="s">
        <v>126</v>
      </c>
      <c r="B8" s="2">
        <v>2</v>
      </c>
      <c r="D8" s="2" t="s">
        <v>46</v>
      </c>
      <c r="H8" s="3">
        <v>1048576</v>
      </c>
      <c r="I8" s="3">
        <v>1966080</v>
      </c>
      <c r="L8" s="2">
        <v>7421.5829999999996</v>
      </c>
      <c r="M8" s="2">
        <v>93.533000000000001</v>
      </c>
      <c r="N8" s="2">
        <v>141.28700000000001</v>
      </c>
      <c r="O8" s="2">
        <v>0.88300000000000001</v>
      </c>
    </row>
    <row r="9" spans="1:21" x14ac:dyDescent="0.35">
      <c r="A9" s="2" t="s">
        <v>126</v>
      </c>
      <c r="B9" s="2">
        <v>3</v>
      </c>
      <c r="D9" s="2" t="s">
        <v>46</v>
      </c>
      <c r="H9" s="3">
        <v>1048576</v>
      </c>
      <c r="I9" s="3">
        <v>1966080</v>
      </c>
      <c r="L9" s="2">
        <v>7429.3680000000004</v>
      </c>
      <c r="M9" s="2">
        <v>93.435000000000002</v>
      </c>
      <c r="N9" s="2">
        <v>141.13900000000001</v>
      </c>
      <c r="O9" s="2">
        <v>0.88200000000000001</v>
      </c>
    </row>
    <row r="10" spans="1:21" x14ac:dyDescent="0.35">
      <c r="A10" s="2" t="s">
        <v>127</v>
      </c>
      <c r="D10" s="2" t="s">
        <v>46</v>
      </c>
      <c r="G10" s="3">
        <v>16384</v>
      </c>
      <c r="H10" s="3">
        <v>1048576</v>
      </c>
      <c r="I10" s="3">
        <v>1966080</v>
      </c>
      <c r="K10" s="2">
        <v>6716.5</v>
      </c>
      <c r="L10" s="2">
        <v>7417.2169999999996</v>
      </c>
      <c r="M10" s="2">
        <v>93.587999999999994</v>
      </c>
      <c r="N10" s="2">
        <v>141.37100000000001</v>
      </c>
      <c r="O10" s="2">
        <v>0.88370000000000004</v>
      </c>
      <c r="P10" s="2">
        <v>7400.701</v>
      </c>
      <c r="Q10" s="2">
        <v>7429.3680000000004</v>
      </c>
      <c r="R10" s="2">
        <v>0.38700000000000001</v>
      </c>
      <c r="S10" s="2">
        <v>700.7</v>
      </c>
      <c r="T10" s="2">
        <v>0.97570000000000001</v>
      </c>
      <c r="U10" s="2">
        <v>289.5</v>
      </c>
    </row>
  </sheetData>
  <autoFilter ref="A1:U10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7" customWidth="1"/>
    <col min="2" max="7" width="10" customWidth="1"/>
    <col min="8" max="8" width="30" customWidth="1"/>
  </cols>
  <sheetData>
    <row r="1" spans="1:8" ht="30" customHeight="1" x14ac:dyDescent="0.35">
      <c r="A1" s="1" t="s">
        <v>128</v>
      </c>
      <c r="B1" s="1" t="s">
        <v>129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134</v>
      </c>
      <c r="H1" s="1" t="s">
        <v>135</v>
      </c>
    </row>
    <row r="2" spans="1:8" x14ac:dyDescent="0.35">
      <c r="A2" s="2" t="s">
        <v>136</v>
      </c>
      <c r="B2" s="3">
        <v>19261</v>
      </c>
      <c r="C2" s="3">
        <v>20726</v>
      </c>
      <c r="D2" s="3">
        <v>8372</v>
      </c>
      <c r="E2" s="2">
        <v>35.049999999999997</v>
      </c>
      <c r="F2" s="2">
        <v>38.380000000000003</v>
      </c>
      <c r="G2" s="2">
        <v>15.5</v>
      </c>
    </row>
    <row r="3" spans="1:8" x14ac:dyDescent="0.35">
      <c r="A3" s="2" t="s">
        <v>137</v>
      </c>
      <c r="B3" s="3">
        <v>69453</v>
      </c>
      <c r="C3" s="3">
        <v>113940</v>
      </c>
      <c r="D3" s="3">
        <v>35362</v>
      </c>
      <c r="E3" s="2">
        <v>15.8</v>
      </c>
      <c r="F3" s="2">
        <v>26.38</v>
      </c>
      <c r="G3" s="2">
        <v>8.19</v>
      </c>
    </row>
    <row r="4" spans="1:8" x14ac:dyDescent="0.35">
      <c r="A4" s="2" t="s">
        <v>138</v>
      </c>
      <c r="B4" s="3">
        <v>53540</v>
      </c>
      <c r="C4" s="3">
        <v>104211</v>
      </c>
      <c r="D4" s="3">
        <v>32322</v>
      </c>
      <c r="E4" s="2">
        <v>12.18</v>
      </c>
      <c r="F4" s="2">
        <v>24.12</v>
      </c>
      <c r="G4" s="2">
        <v>7.48</v>
      </c>
    </row>
    <row r="5" spans="1:8" x14ac:dyDescent="0.35">
      <c r="A5" s="2" t="s">
        <v>139</v>
      </c>
      <c r="B5" s="3">
        <v>15913</v>
      </c>
      <c r="C5" s="3">
        <v>9729</v>
      </c>
      <c r="D5" s="3">
        <v>3040</v>
      </c>
      <c r="E5" s="2">
        <v>7.75</v>
      </c>
      <c r="F5" s="2">
        <v>4.92</v>
      </c>
      <c r="G5" s="2">
        <v>1.54</v>
      </c>
    </row>
    <row r="6" spans="1:8" x14ac:dyDescent="0.35">
      <c r="A6" s="2" t="s">
        <v>140</v>
      </c>
      <c r="B6" s="3">
        <v>133849</v>
      </c>
      <c r="C6" s="3">
        <v>133678</v>
      </c>
      <c r="D6" s="3">
        <v>60953</v>
      </c>
      <c r="E6" s="2">
        <v>15.22</v>
      </c>
      <c r="F6" s="2">
        <v>15.47</v>
      </c>
      <c r="G6" s="2">
        <v>7.05</v>
      </c>
    </row>
    <row r="7" spans="1:8" x14ac:dyDescent="0.35">
      <c r="A7" s="2" t="s">
        <v>141</v>
      </c>
      <c r="B7" s="3">
        <v>1311</v>
      </c>
      <c r="C7" s="3">
        <v>3357</v>
      </c>
      <c r="D7" s="2">
        <v>313</v>
      </c>
      <c r="E7" s="2">
        <v>2.39</v>
      </c>
      <c r="F7" s="2">
        <v>6.22</v>
      </c>
      <c r="G7" s="2">
        <v>0.57999999999999996</v>
      </c>
    </row>
    <row r="8" spans="1:8" x14ac:dyDescent="0.35">
      <c r="A8" s="2" t="s">
        <v>142</v>
      </c>
      <c r="B8" s="3">
        <v>3143</v>
      </c>
      <c r="C8" s="3">
        <v>8843</v>
      </c>
      <c r="D8" s="3">
        <v>1054</v>
      </c>
      <c r="E8" s="2">
        <v>1.43</v>
      </c>
      <c r="F8" s="2">
        <v>4.09</v>
      </c>
      <c r="G8" s="2">
        <v>0.49</v>
      </c>
      <c r="H8" s="2" t="s">
        <v>143</v>
      </c>
    </row>
    <row r="9" spans="1:8" x14ac:dyDescent="0.35">
      <c r="A9" s="2" t="s">
        <v>144</v>
      </c>
      <c r="B9" s="2">
        <v>16</v>
      </c>
      <c r="C9" s="2">
        <v>141</v>
      </c>
      <c r="D9" s="2">
        <v>47</v>
      </c>
      <c r="E9" s="2">
        <v>0.01</v>
      </c>
      <c r="F9" s="2">
        <v>0.13</v>
      </c>
      <c r="G9" s="2">
        <v>0.04</v>
      </c>
    </row>
    <row r="10" spans="1:8" x14ac:dyDescent="0.35">
      <c r="A10" s="2" t="s">
        <v>145</v>
      </c>
      <c r="B10" s="2">
        <v>276</v>
      </c>
      <c r="C10" s="2">
        <v>154.5</v>
      </c>
      <c r="D10" s="2">
        <v>94</v>
      </c>
      <c r="E10" s="2">
        <v>41.07</v>
      </c>
      <c r="F10" s="2">
        <v>22.99</v>
      </c>
      <c r="G10" s="2">
        <v>13.99</v>
      </c>
      <c r="H10" s="2" t="s">
        <v>146</v>
      </c>
    </row>
    <row r="11" spans="1:8" x14ac:dyDescent="0.35">
      <c r="A11" s="2" t="s">
        <v>147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</row>
    <row r="12" spans="1:8" x14ac:dyDescent="0.35">
      <c r="A12" s="2" t="s">
        <v>24</v>
      </c>
      <c r="B12" s="2">
        <v>0</v>
      </c>
      <c r="C12" s="2">
        <v>512</v>
      </c>
      <c r="D12" s="2">
        <v>4</v>
      </c>
      <c r="E12" s="2">
        <v>0</v>
      </c>
      <c r="F12" s="2">
        <v>16.670000000000002</v>
      </c>
      <c r="G12" s="2">
        <v>0.13</v>
      </c>
      <c r="H12" s="2" t="s">
        <v>148</v>
      </c>
    </row>
    <row r="13" spans="1:8" x14ac:dyDescent="0.35">
      <c r="A13" s="2" t="s">
        <v>149</v>
      </c>
      <c r="B13" s="2">
        <v>16</v>
      </c>
      <c r="C13" s="2">
        <v>0</v>
      </c>
      <c r="D13" s="2">
        <v>0</v>
      </c>
      <c r="H13" s="2" t="s">
        <v>150</v>
      </c>
    </row>
    <row r="14" spans="1:8" x14ac:dyDescent="0.35">
      <c r="A14" s="2" t="s">
        <v>151</v>
      </c>
      <c r="C14" s="3">
        <v>6853</v>
      </c>
      <c r="H14" s="2" t="s">
        <v>152</v>
      </c>
    </row>
    <row r="15" spans="1:8" x14ac:dyDescent="0.35">
      <c r="A15" s="2" t="s">
        <v>153</v>
      </c>
      <c r="C15" s="3">
        <v>3993</v>
      </c>
      <c r="H15" s="2" t="s">
        <v>154</v>
      </c>
    </row>
    <row r="16" spans="1:8" x14ac:dyDescent="0.35">
      <c r="A16" s="2" t="s">
        <v>155</v>
      </c>
      <c r="C16" s="3">
        <v>10846</v>
      </c>
    </row>
  </sheetData>
  <autoFilter ref="A1:H16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2377C-00BF-4249-9A9C-DBDFC9371EC2}">
  <dimension ref="A1:BQ15"/>
  <sheetViews>
    <sheetView workbookViewId="0"/>
  </sheetViews>
  <sheetFormatPr defaultRowHeight="14.5" x14ac:dyDescent="0.35"/>
  <sheetData>
    <row r="1" spans="1:69" x14ac:dyDescent="0.35">
      <c r="A1" s="4" t="s">
        <v>156</v>
      </c>
      <c r="B1" s="8" t="s">
        <v>38</v>
      </c>
      <c r="C1" s="8" t="s">
        <v>40</v>
      </c>
      <c r="D1" s="8" t="s">
        <v>42</v>
      </c>
      <c r="E1" s="8" t="s">
        <v>44</v>
      </c>
      <c r="G1" s="4" t="s">
        <v>158</v>
      </c>
      <c r="H1" s="4" t="s">
        <v>159</v>
      </c>
      <c r="I1" s="4" t="s">
        <v>160</v>
      </c>
      <c r="K1" s="4" t="s">
        <v>158</v>
      </c>
      <c r="L1" s="4" t="s">
        <v>162</v>
      </c>
      <c r="M1" s="4" t="s">
        <v>163</v>
      </c>
      <c r="P1" s="4" t="s">
        <v>158</v>
      </c>
      <c r="Q1" s="4" t="s">
        <v>165</v>
      </c>
      <c r="R1" s="4" t="s">
        <v>166</v>
      </c>
      <c r="U1" s="4" t="s">
        <v>158</v>
      </c>
      <c r="V1" s="4" t="s">
        <v>159</v>
      </c>
      <c r="W1" s="4" t="s">
        <v>160</v>
      </c>
      <c r="Y1" s="4" t="s">
        <v>158</v>
      </c>
      <c r="Z1" s="4" t="s">
        <v>159</v>
      </c>
      <c r="AA1" s="4" t="s">
        <v>160</v>
      </c>
      <c r="AC1" s="4" t="s">
        <v>158</v>
      </c>
      <c r="AD1" s="4" t="s">
        <v>170</v>
      </c>
      <c r="AF1" s="4" t="s">
        <v>172</v>
      </c>
      <c r="AG1" s="4" t="s">
        <v>173</v>
      </c>
      <c r="AH1" s="4" t="s">
        <v>174</v>
      </c>
      <c r="AI1" s="4" t="s">
        <v>175</v>
      </c>
      <c r="AJ1" s="4" t="s">
        <v>176</v>
      </c>
      <c r="AK1" s="4" t="s">
        <v>177</v>
      </c>
      <c r="AL1" s="4" t="s">
        <v>178</v>
      </c>
      <c r="AN1" s="4" t="s">
        <v>184</v>
      </c>
      <c r="AO1" s="4" t="s">
        <v>34</v>
      </c>
      <c r="AP1" s="8" t="s">
        <v>38</v>
      </c>
      <c r="AQ1" s="8" t="s">
        <v>40</v>
      </c>
      <c r="AR1" s="8" t="s">
        <v>42</v>
      </c>
      <c r="AS1" s="8" t="s">
        <v>44</v>
      </c>
      <c r="AT1" s="4" t="s">
        <v>185</v>
      </c>
      <c r="AU1" s="4" t="s">
        <v>186</v>
      </c>
      <c r="AV1" s="4" t="s">
        <v>187</v>
      </c>
      <c r="AW1" s="4" t="s">
        <v>188</v>
      </c>
      <c r="AX1" s="4" t="s">
        <v>189</v>
      </c>
      <c r="AY1" s="4" t="s">
        <v>190</v>
      </c>
      <c r="BA1" s="4" t="s">
        <v>183</v>
      </c>
      <c r="BC1" s="4" t="s">
        <v>184</v>
      </c>
      <c r="BD1" s="4" t="s">
        <v>34</v>
      </c>
      <c r="BE1" s="8" t="s">
        <v>38</v>
      </c>
      <c r="BF1" s="8" t="s">
        <v>40</v>
      </c>
      <c r="BG1" s="8" t="s">
        <v>42</v>
      </c>
      <c r="BH1" s="8" t="s">
        <v>44</v>
      </c>
      <c r="BI1" s="4" t="s">
        <v>192</v>
      </c>
      <c r="BK1" s="8" t="s">
        <v>184</v>
      </c>
      <c r="BL1" s="8" t="s">
        <v>34</v>
      </c>
      <c r="BM1" s="9" t="s">
        <v>38</v>
      </c>
      <c r="BN1" s="9" t="s">
        <v>40</v>
      </c>
      <c r="BO1" s="9" t="s">
        <v>42</v>
      </c>
      <c r="BP1" s="9" t="s">
        <v>44</v>
      </c>
      <c r="BQ1" t="s">
        <v>46</v>
      </c>
    </row>
    <row r="2" spans="1:69" x14ac:dyDescent="0.35">
      <c r="A2" t="str">
        <f>Shapes!C14</f>
        <v>G1</v>
      </c>
      <c r="B2">
        <f>Shapes!S14</f>
        <v>2.0023</v>
      </c>
      <c r="C2">
        <f>Shapes!S26</f>
        <v>3.8917999999999999</v>
      </c>
      <c r="D2">
        <f>Shapes!S38</f>
        <v>7.7542</v>
      </c>
      <c r="E2">
        <f>Shapes!S50</f>
        <v>15.1937</v>
      </c>
      <c r="G2" t="str">
        <f>'avg3 comparison'!C2</f>
        <v>dense</v>
      </c>
      <c r="H2">
        <f>'avg3 comparison'!S2</f>
        <v>69.31</v>
      </c>
      <c r="I2">
        <f>'avg3 comparison'!S8</f>
        <v>75.3</v>
      </c>
      <c r="K2" t="str">
        <f>'avg3 comparison'!C2</f>
        <v>dense</v>
      </c>
      <c r="L2">
        <f>'avg3 comparison'!G2</f>
        <v>262144</v>
      </c>
      <c r="M2">
        <f>'avg3 comparison'!K2</f>
        <v>7745.5770000000002</v>
      </c>
      <c r="P2" t="str">
        <f>'avg3 comparison'!C2</f>
        <v>dense</v>
      </c>
      <c r="Q2">
        <f>'avg3 comparison'!AG2</f>
        <v>0.13539999999999999</v>
      </c>
      <c r="R2">
        <f>'avg3 comparison'!Z2</f>
        <v>0.13539999999999999</v>
      </c>
      <c r="U2" t="str">
        <f>'avg3 comparison'!C2</f>
        <v>dense</v>
      </c>
      <c r="V2">
        <f>'avg3 comparison'!AD2</f>
        <v>0.95920000000000005</v>
      </c>
      <c r="W2">
        <f>'avg3 comparison'!AD8</f>
        <v>0.96709999999999996</v>
      </c>
      <c r="Y2" t="str">
        <f>Master!C11</f>
        <v>dense</v>
      </c>
      <c r="Z2">
        <f>Master!AD11</f>
        <v>887.5</v>
      </c>
      <c r="AA2">
        <f>Master!AD12</f>
        <v>832.8</v>
      </c>
      <c r="AC2" t="str">
        <f>Master!C11</f>
        <v>dense</v>
      </c>
      <c r="AD2">
        <f>Master!W11</f>
        <v>31.297000000000001</v>
      </c>
      <c r="AF2" t="s">
        <v>179</v>
      </c>
      <c r="AG2">
        <f>'Mixed sparsity'!K2</f>
        <v>3571.4</v>
      </c>
      <c r="AH2">
        <f>'Mixed sparsity'!K3</f>
        <v>1789.9</v>
      </c>
      <c r="AI2">
        <f>'Mixed sparsity'!K4</f>
        <v>901.8</v>
      </c>
      <c r="AJ2">
        <f>'Mixed sparsity'!K5</f>
        <v>453.4</v>
      </c>
      <c r="AK2">
        <f>'Mixed sparsity'!S10</f>
        <v>700.7</v>
      </c>
      <c r="AN2" t="str">
        <f>Shapes!D2</f>
        <v>512x512</v>
      </c>
      <c r="AO2">
        <f>Shapes!Q2</f>
        <v>74.099999999999994</v>
      </c>
      <c r="AP2">
        <f>Shapes!Q14</f>
        <v>74.180000000000007</v>
      </c>
      <c r="AQ2">
        <f>Shapes!Q26</f>
        <v>72.09</v>
      </c>
      <c r="AR2">
        <f>Shapes!Q38</f>
        <v>71.819999999999993</v>
      </c>
      <c r="AS2">
        <f>Shapes!Q50</f>
        <v>70.37</v>
      </c>
      <c r="AT2">
        <f>Shapes!P2</f>
        <v>74.099999999999994</v>
      </c>
      <c r="AU2">
        <f>Shapes!P14</f>
        <v>148.36000000000001</v>
      </c>
      <c r="AV2">
        <f>Shapes!P26</f>
        <v>288.37</v>
      </c>
      <c r="AW2">
        <f>Shapes!P38</f>
        <v>574.54</v>
      </c>
      <c r="AX2">
        <f>Shapes!P50</f>
        <v>1125.8900000000001</v>
      </c>
      <c r="AY2">
        <f>$BA$2</f>
        <v>76.8</v>
      </c>
      <c r="BA2" s="7">
        <f>2*128*300/1000</f>
        <v>76.8</v>
      </c>
      <c r="BC2" t="str">
        <f t="shared" ref="BC2:BH2" si="0">AN2</f>
        <v>512x512</v>
      </c>
      <c r="BD2">
        <f t="shared" si="0"/>
        <v>74.099999999999994</v>
      </c>
      <c r="BE2">
        <f t="shared" si="0"/>
        <v>74.180000000000007</v>
      </c>
      <c r="BF2">
        <f t="shared" si="0"/>
        <v>72.09</v>
      </c>
      <c r="BG2">
        <f t="shared" si="0"/>
        <v>71.819999999999993</v>
      </c>
      <c r="BH2">
        <f t="shared" si="0"/>
        <v>70.37</v>
      </c>
      <c r="BI2">
        <f>AY2</f>
        <v>76.8</v>
      </c>
      <c r="BK2" t="str">
        <f>Shapes!D2</f>
        <v>512x512</v>
      </c>
      <c r="BL2">
        <f>Shapes!M2</f>
        <v>7.0757000000000003</v>
      </c>
      <c r="BM2">
        <f>Shapes!M14</f>
        <v>3.5337999999999998</v>
      </c>
      <c r="BN2">
        <f>Shapes!M26</f>
        <v>1.8181</v>
      </c>
      <c r="BO2">
        <f>Shapes!M38</f>
        <v>0.91249999999999998</v>
      </c>
      <c r="BP2">
        <f>Shapes!M50</f>
        <v>0.4657</v>
      </c>
      <c r="BQ2">
        <f>Shapes!M62</f>
        <v>1.6601999999999999</v>
      </c>
    </row>
    <row r="3" spans="1:69" x14ac:dyDescent="0.35">
      <c r="A3" t="str">
        <f>Shapes!C15</f>
        <v>G2</v>
      </c>
      <c r="B3">
        <f>Shapes!S15</f>
        <v>2.0306999999999999</v>
      </c>
      <c r="C3">
        <f>Shapes!S27</f>
        <v>3.9712000000000001</v>
      </c>
      <c r="D3">
        <f>Shapes!S39</f>
        <v>7.8612000000000002</v>
      </c>
      <c r="E3">
        <f>Shapes!S51</f>
        <v>15.7401</v>
      </c>
      <c r="G3" t="str">
        <f>'avg3 comparison'!C3</f>
        <v>2:4</v>
      </c>
      <c r="H3">
        <f>'avg3 comparison'!S3</f>
        <v>137.19</v>
      </c>
      <c r="I3">
        <f>'avg3 comparison'!S9</f>
        <v>146.97</v>
      </c>
      <c r="K3" t="str">
        <f>'avg3 comparison'!C3</f>
        <v>2:4</v>
      </c>
      <c r="L3">
        <f>'avg3 comparison'!G3</f>
        <v>524288</v>
      </c>
      <c r="M3">
        <f>'avg3 comparison'!K3</f>
        <v>7826.5820000000003</v>
      </c>
      <c r="P3" t="str">
        <f>'avg3 comparison'!C3</f>
        <v>2:4</v>
      </c>
      <c r="Q3">
        <f>'avg3 comparison'!AG3</f>
        <v>0.13400000000000001</v>
      </c>
      <c r="R3">
        <f>'avg3 comparison'!Z3</f>
        <v>0.26800000000000002</v>
      </c>
      <c r="U3" t="str">
        <f>'avg3 comparison'!C3</f>
        <v>2:4</v>
      </c>
      <c r="V3">
        <f>'avg3 comparison'!AD3</f>
        <v>0.96989999999999998</v>
      </c>
      <c r="W3">
        <f>'avg3 comparison'!AD9</f>
        <v>0.96499999999999997</v>
      </c>
      <c r="Y3" t="str">
        <f>Master!C13</f>
        <v>2:4</v>
      </c>
      <c r="Z3">
        <f>Master!AD13</f>
        <v>508</v>
      </c>
      <c r="AA3">
        <f>Master!AD14</f>
        <v>474.1</v>
      </c>
      <c r="AC3" t="str">
        <f>Master!C13</f>
        <v>2:4</v>
      </c>
      <c r="AD3">
        <f>Master!W13</f>
        <v>35.442</v>
      </c>
      <c r="AF3" t="s">
        <v>180</v>
      </c>
      <c r="AL3">
        <f>'Mixed sparsity'!L10</f>
        <v>7417.2169999999996</v>
      </c>
      <c r="AN3" t="str">
        <f>Shapes!D3</f>
        <v>768x768</v>
      </c>
      <c r="AO3">
        <f>Shapes!Q3</f>
        <v>73.56</v>
      </c>
      <c r="AP3">
        <f>Shapes!Q15</f>
        <v>74.69</v>
      </c>
      <c r="AQ3">
        <f>Shapes!Q27</f>
        <v>73.03</v>
      </c>
      <c r="AR3">
        <f>Shapes!Q39</f>
        <v>72.290000000000006</v>
      </c>
      <c r="AS3">
        <f>Shapes!Q51</f>
        <v>72.37</v>
      </c>
      <c r="AT3">
        <f>Shapes!P3</f>
        <v>73.56</v>
      </c>
      <c r="AU3">
        <f>Shapes!P15</f>
        <v>149.38999999999999</v>
      </c>
      <c r="AV3">
        <f>Shapes!P27</f>
        <v>292.13</v>
      </c>
      <c r="AW3">
        <f>Shapes!P39</f>
        <v>578.28</v>
      </c>
      <c r="AX3">
        <f>Shapes!P51</f>
        <v>1157.8399999999999</v>
      </c>
      <c r="AY3">
        <f t="shared" ref="AY3:AY12" si="1">$BA$2</f>
        <v>76.8</v>
      </c>
      <c r="BC3" t="str">
        <f t="shared" ref="BC3:BC12" si="2">AN3</f>
        <v>768x768</v>
      </c>
      <c r="BD3">
        <f t="shared" ref="BD3:BD12" si="3">AO3</f>
        <v>73.56</v>
      </c>
      <c r="BE3">
        <f t="shared" ref="BE3:BE12" si="4">AP3</f>
        <v>74.69</v>
      </c>
      <c r="BF3">
        <f t="shared" ref="BF3:BF12" si="5">AQ3</f>
        <v>73.03</v>
      </c>
      <c r="BG3">
        <f t="shared" ref="BG3:BG12" si="6">AR3</f>
        <v>72.290000000000006</v>
      </c>
      <c r="BH3">
        <f t="shared" ref="BH3:BH12" si="7">AS3</f>
        <v>72.37</v>
      </c>
      <c r="BI3">
        <f t="shared" ref="BI3:BI12" si="8">AY3</f>
        <v>76.8</v>
      </c>
      <c r="BK3" t="str">
        <f>Shapes!D3</f>
        <v>768x768</v>
      </c>
      <c r="BL3">
        <f>Shapes!M3</f>
        <v>16.036000000000001</v>
      </c>
      <c r="BM3">
        <f>Shapes!M15</f>
        <v>7.8966000000000003</v>
      </c>
      <c r="BN3">
        <f>Shapes!M27</f>
        <v>4.0381</v>
      </c>
      <c r="BO3">
        <f>Shapes!M39</f>
        <v>2.0398999999999998</v>
      </c>
      <c r="BP3">
        <f>Shapes!M51</f>
        <v>1.0187999999999999</v>
      </c>
      <c r="BQ3">
        <f>Shapes!M63</f>
        <v>3.7231000000000001</v>
      </c>
    </row>
    <row r="4" spans="1:69" x14ac:dyDescent="0.35">
      <c r="A4" t="str">
        <f>Shapes!C16</f>
        <v>G3</v>
      </c>
      <c r="B4">
        <f>Shapes!S16</f>
        <v>1.9512</v>
      </c>
      <c r="C4">
        <f>Shapes!S28</f>
        <v>3.8723999999999998</v>
      </c>
      <c r="D4">
        <f>Shapes!S40</f>
        <v>7.7714999999999996</v>
      </c>
      <c r="E4">
        <f>Shapes!S52</f>
        <v>15.5015</v>
      </c>
      <c r="G4" t="str">
        <f>'avg3 comparison'!C4</f>
        <v>2:8</v>
      </c>
      <c r="H4">
        <f>'avg3 comparison'!S4</f>
        <v>273.60000000000002</v>
      </c>
      <c r="I4">
        <f>'avg3 comparison'!S10</f>
        <v>293.44</v>
      </c>
      <c r="K4" t="str">
        <f>'avg3 comparison'!C4</f>
        <v>2:8</v>
      </c>
      <c r="L4">
        <f>'avg3 comparison'!G4</f>
        <v>1048576</v>
      </c>
      <c r="M4">
        <f>'avg3 comparison'!K4</f>
        <v>7849.0990000000002</v>
      </c>
      <c r="P4" t="str">
        <f>'avg3 comparison'!C4</f>
        <v>2:8</v>
      </c>
      <c r="Q4">
        <f>'avg3 comparison'!AG4</f>
        <v>0.1336</v>
      </c>
      <c r="R4">
        <f>'avg3 comparison'!Z4</f>
        <v>0.53439999999999999</v>
      </c>
      <c r="U4" t="str">
        <f>'avg3 comparison'!C4</f>
        <v>2:8</v>
      </c>
      <c r="V4">
        <f>'avg3 comparison'!AD4</f>
        <v>0.96030000000000004</v>
      </c>
      <c r="W4">
        <f>'avg3 comparison'!AD10</f>
        <v>0.95620000000000005</v>
      </c>
      <c r="Y4" t="str">
        <f>Master!C15</f>
        <v>2:8</v>
      </c>
      <c r="Z4">
        <f>Master!AD15</f>
        <v>253.7</v>
      </c>
      <c r="AA4">
        <f>Master!AD16</f>
        <v>236</v>
      </c>
      <c r="AC4" t="str">
        <f>Master!C15</f>
        <v>2:8</v>
      </c>
      <c r="AD4">
        <f>Master!W15</f>
        <v>35.326999999999998</v>
      </c>
      <c r="AN4" t="str">
        <f>Shapes!D4</f>
        <v>1024x1024</v>
      </c>
      <c r="AO4">
        <f>Shapes!Q4</f>
        <v>75.48</v>
      </c>
      <c r="AP4">
        <f>Shapes!Q16</f>
        <v>73.64</v>
      </c>
      <c r="AQ4">
        <f>Shapes!Q28</f>
        <v>73.069999999999993</v>
      </c>
      <c r="AR4">
        <f>Shapes!Q40</f>
        <v>73.319999999999993</v>
      </c>
      <c r="AS4">
        <f>Shapes!Q52</f>
        <v>73.13</v>
      </c>
      <c r="AT4">
        <f>Shapes!P4</f>
        <v>75.48</v>
      </c>
      <c r="AU4">
        <f>Shapes!P16</f>
        <v>147.27000000000001</v>
      </c>
      <c r="AV4">
        <f>Shapes!P28</f>
        <v>292.27999999999997</v>
      </c>
      <c r="AW4">
        <f>Shapes!P40</f>
        <v>586.58000000000004</v>
      </c>
      <c r="AX4">
        <f>Shapes!P52</f>
        <v>1170.03</v>
      </c>
      <c r="AY4">
        <f t="shared" si="1"/>
        <v>76.8</v>
      </c>
      <c r="BC4" t="str">
        <f t="shared" si="2"/>
        <v>1024x1024</v>
      </c>
      <c r="BD4">
        <f t="shared" si="3"/>
        <v>75.48</v>
      </c>
      <c r="BE4">
        <f t="shared" si="4"/>
        <v>73.64</v>
      </c>
      <c r="BF4">
        <f t="shared" si="5"/>
        <v>73.069999999999993</v>
      </c>
      <c r="BG4">
        <f t="shared" si="6"/>
        <v>73.319999999999993</v>
      </c>
      <c r="BH4">
        <f t="shared" si="7"/>
        <v>73.13</v>
      </c>
      <c r="BI4">
        <f t="shared" si="8"/>
        <v>76.8</v>
      </c>
      <c r="BK4" t="str">
        <f>Shapes!D4</f>
        <v>1024x1024</v>
      </c>
      <c r="BL4">
        <f>Shapes!M4</f>
        <v>27.784800000000001</v>
      </c>
      <c r="BM4">
        <f>Shapes!M16</f>
        <v>14.2399</v>
      </c>
      <c r="BN4">
        <f>Shapes!M28</f>
        <v>7.1749999999999998</v>
      </c>
      <c r="BO4">
        <f>Shapes!M40</f>
        <v>3.5752000000000002</v>
      </c>
      <c r="BP4">
        <f>Shapes!M52</f>
        <v>1.7924</v>
      </c>
      <c r="BQ4">
        <f>Shapes!M64</f>
        <v>6.4935</v>
      </c>
    </row>
    <row r="5" spans="1:69" x14ac:dyDescent="0.35">
      <c r="A5" t="str">
        <f>Shapes!C17</f>
        <v>G4</v>
      </c>
      <c r="B5">
        <f>Shapes!S17</f>
        <v>1.9790000000000001</v>
      </c>
      <c r="C5">
        <f>Shapes!S29</f>
        <v>3.9333999999999998</v>
      </c>
      <c r="D5">
        <f>Shapes!S41</f>
        <v>7.8708</v>
      </c>
      <c r="E5">
        <f>Shapes!S53</f>
        <v>15.4823</v>
      </c>
      <c r="G5" t="str">
        <f>'avg3 comparison'!C5</f>
        <v>2:16</v>
      </c>
      <c r="H5">
        <f>'avg3 comparison'!S5</f>
        <v>542.91999999999996</v>
      </c>
      <c r="I5">
        <f>'avg3 comparison'!S11</f>
        <v>585.07000000000005</v>
      </c>
      <c r="K5" t="str">
        <f>'avg3 comparison'!C5</f>
        <v>2:16</v>
      </c>
      <c r="L5">
        <f>'avg3 comparison'!G5</f>
        <v>2097152</v>
      </c>
      <c r="M5">
        <f>'avg3 comparison'!K5</f>
        <v>7910.9</v>
      </c>
      <c r="P5" t="str">
        <f>'avg3 comparison'!C5</f>
        <v>2:16</v>
      </c>
      <c r="Q5">
        <f>'avg3 comparison'!AG5</f>
        <v>0.13250000000000001</v>
      </c>
      <c r="R5">
        <f>'avg3 comparison'!Z5</f>
        <v>1.0604</v>
      </c>
      <c r="U5" t="str">
        <f>'avg3 comparison'!C5</f>
        <v>2:16</v>
      </c>
      <c r="V5">
        <f>'avg3 comparison'!AD5</f>
        <v>0.95669999999999999</v>
      </c>
      <c r="W5">
        <f>'avg3 comparison'!AD11</f>
        <v>0.95779999999999998</v>
      </c>
      <c r="Y5" t="str">
        <f>Master!C17</f>
        <v>2:16</v>
      </c>
      <c r="Z5">
        <f>Master!AD17</f>
        <v>128.4</v>
      </c>
      <c r="AA5">
        <f>Master!AD18</f>
        <v>121.3</v>
      </c>
      <c r="AC5" t="str">
        <f>Master!C17</f>
        <v>2:16</v>
      </c>
      <c r="AD5">
        <f>Master!W17</f>
        <v>35.412999999999997</v>
      </c>
      <c r="AF5" s="6" t="s">
        <v>181</v>
      </c>
      <c r="AG5" s="6">
        <f>SUM(AG2:AK2)</f>
        <v>7417.2</v>
      </c>
      <c r="AN5" t="str">
        <f>Shapes!D5</f>
        <v>3072x768</v>
      </c>
      <c r="AO5">
        <f>Shapes!Q5</f>
        <v>74.52</v>
      </c>
      <c r="AP5">
        <f>Shapes!Q17</f>
        <v>73.739999999999995</v>
      </c>
      <c r="AQ5">
        <f>Shapes!Q29</f>
        <v>73.28</v>
      </c>
      <c r="AR5">
        <f>Shapes!Q41</f>
        <v>73.319999999999993</v>
      </c>
      <c r="AS5">
        <f>Shapes!Q53</f>
        <v>72.11</v>
      </c>
      <c r="AT5">
        <f>Shapes!P5</f>
        <v>74.52</v>
      </c>
      <c r="AU5">
        <f>Shapes!P17</f>
        <v>147.47999999999999</v>
      </c>
      <c r="AV5">
        <f>Shapes!P29</f>
        <v>293.12</v>
      </c>
      <c r="AW5">
        <f>Shapes!P41</f>
        <v>586.54999999999995</v>
      </c>
      <c r="AX5">
        <f>Shapes!P53</f>
        <v>1153.79</v>
      </c>
      <c r="AY5">
        <f t="shared" si="1"/>
        <v>76.8</v>
      </c>
      <c r="BC5" t="str">
        <f t="shared" si="2"/>
        <v>3072x768</v>
      </c>
      <c r="BD5">
        <f t="shared" si="3"/>
        <v>74.52</v>
      </c>
      <c r="BE5">
        <f t="shared" si="4"/>
        <v>73.739999999999995</v>
      </c>
      <c r="BF5">
        <f t="shared" si="5"/>
        <v>73.28</v>
      </c>
      <c r="BG5">
        <f t="shared" si="6"/>
        <v>73.319999999999993</v>
      </c>
      <c r="BH5">
        <f t="shared" si="7"/>
        <v>72.11</v>
      </c>
      <c r="BI5">
        <f t="shared" si="8"/>
        <v>76.8</v>
      </c>
      <c r="BK5" t="str">
        <f>Shapes!D5</f>
        <v>3072x768</v>
      </c>
      <c r="BL5">
        <f>Shapes!M5</f>
        <v>63.317900000000002</v>
      </c>
      <c r="BM5">
        <f>Shapes!M17</f>
        <v>31.994599999999998</v>
      </c>
      <c r="BN5">
        <f>Shapes!M29</f>
        <v>16.0976</v>
      </c>
      <c r="BO5">
        <f>Shapes!M41</f>
        <v>8.0447000000000006</v>
      </c>
      <c r="BP5">
        <f>Shapes!M53</f>
        <v>4.0896999999999997</v>
      </c>
      <c r="BQ5">
        <f>Shapes!M65</f>
        <v>14.7399</v>
      </c>
    </row>
    <row r="6" spans="1:69" x14ac:dyDescent="0.35">
      <c r="A6" t="str">
        <f>Shapes!C18</f>
        <v>G5</v>
      </c>
      <c r="B6">
        <f>Shapes!S18</f>
        <v>2.0023</v>
      </c>
      <c r="C6">
        <f>Shapes!S30</f>
        <v>4.0072999999999999</v>
      </c>
      <c r="D6">
        <f>Shapes!S42</f>
        <v>8.0741999999999994</v>
      </c>
      <c r="E6">
        <f>Shapes!S54</f>
        <v>16.191600000000001</v>
      </c>
      <c r="G6" t="str">
        <f>'avg3 comparison'!C6</f>
        <v>2:32</v>
      </c>
      <c r="H6">
        <f>'avg3 comparison'!S6</f>
        <v>1073.04</v>
      </c>
      <c r="I6">
        <f>'avg3 comparison'!S12</f>
        <v>1143.51</v>
      </c>
      <c r="K6" t="str">
        <f>'avg3 comparison'!C6</f>
        <v>2:32</v>
      </c>
      <c r="L6">
        <f>'avg3 comparison'!G6</f>
        <v>4194304</v>
      </c>
      <c r="M6">
        <f>'avg3 comparison'!K6</f>
        <v>8005.26</v>
      </c>
      <c r="P6" t="str">
        <f>'avg3 comparison'!C6</f>
        <v>2:32</v>
      </c>
      <c r="Q6">
        <f>'avg3 comparison'!AG6</f>
        <v>0.13100000000000001</v>
      </c>
      <c r="R6">
        <f>'avg3 comparison'!Z6</f>
        <v>2.0958000000000001</v>
      </c>
      <c r="U6" t="str">
        <f>'avg3 comparison'!C6</f>
        <v>2:32</v>
      </c>
      <c r="V6">
        <f>'avg3 comparison'!AD6</f>
        <v>0.95499999999999996</v>
      </c>
      <c r="W6">
        <f>'avg3 comparison'!AD12</f>
        <v>0.94530000000000003</v>
      </c>
      <c r="Y6" t="str">
        <f>Master!C19</f>
        <v>2:32</v>
      </c>
      <c r="Z6">
        <f>Master!AD19</f>
        <v>65.099999999999994</v>
      </c>
      <c r="AA6">
        <f>Master!AD20</f>
        <v>61.4</v>
      </c>
      <c r="AC6" t="str">
        <f>Master!C19</f>
        <v>2:32</v>
      </c>
      <c r="AD6">
        <f>Master!W19</f>
        <v>35.521000000000001</v>
      </c>
      <c r="AN6" t="str">
        <f>Shapes!D6</f>
        <v>768x3072</v>
      </c>
      <c r="AO6">
        <f>Shapes!Q6</f>
        <v>73.94</v>
      </c>
      <c r="AP6">
        <f>Shapes!Q18</f>
        <v>74.03</v>
      </c>
      <c r="AQ6">
        <f>Shapes!Q30</f>
        <v>74.08</v>
      </c>
      <c r="AR6">
        <f>Shapes!Q42</f>
        <v>74.63</v>
      </c>
      <c r="AS6">
        <f>Shapes!Q54</f>
        <v>74.83</v>
      </c>
      <c r="AT6">
        <f>Shapes!P6</f>
        <v>73.94</v>
      </c>
      <c r="AU6">
        <f>Shapes!P18</f>
        <v>148.06</v>
      </c>
      <c r="AV6">
        <f>Shapes!P30</f>
        <v>296.31</v>
      </c>
      <c r="AW6">
        <f>Shapes!P42</f>
        <v>597.04</v>
      </c>
      <c r="AX6">
        <f>Shapes!P54</f>
        <v>1197.28</v>
      </c>
      <c r="AY6">
        <f t="shared" si="1"/>
        <v>76.8</v>
      </c>
      <c r="BC6" t="str">
        <f t="shared" si="2"/>
        <v>768x3072</v>
      </c>
      <c r="BD6">
        <f t="shared" si="3"/>
        <v>73.94</v>
      </c>
      <c r="BE6">
        <f t="shared" si="4"/>
        <v>74.03</v>
      </c>
      <c r="BF6">
        <f t="shared" si="5"/>
        <v>74.08</v>
      </c>
      <c r="BG6">
        <f t="shared" si="6"/>
        <v>74.63</v>
      </c>
      <c r="BH6">
        <f t="shared" si="7"/>
        <v>74.83</v>
      </c>
      <c r="BI6">
        <f t="shared" si="8"/>
        <v>76.8</v>
      </c>
      <c r="BK6" t="str">
        <f>Shapes!D6</f>
        <v>768x3072</v>
      </c>
      <c r="BL6">
        <f>Shapes!M6</f>
        <v>63.812800000000003</v>
      </c>
      <c r="BM6">
        <f>Shapes!M18</f>
        <v>31.870200000000001</v>
      </c>
      <c r="BN6">
        <f>Shapes!M30</f>
        <v>15.924300000000001</v>
      </c>
      <c r="BO6">
        <f>Shapes!M42</f>
        <v>7.9032999999999998</v>
      </c>
      <c r="BP6">
        <f>Shapes!M54</f>
        <v>3.9411</v>
      </c>
      <c r="BQ6">
        <f>Shapes!M66</f>
        <v>14.71</v>
      </c>
    </row>
    <row r="7" spans="1:69" x14ac:dyDescent="0.35">
      <c r="A7" t="str">
        <f>Shapes!C19</f>
        <v>G6</v>
      </c>
      <c r="B7">
        <f>Shapes!S19</f>
        <v>2.0194999999999999</v>
      </c>
      <c r="C7">
        <f>Shapes!S31</f>
        <v>3.9889000000000001</v>
      </c>
      <c r="D7">
        <f>Shapes!S43</f>
        <v>7.9565999999999999</v>
      </c>
      <c r="E7">
        <f>Shapes!S55</f>
        <v>15.760300000000001</v>
      </c>
      <c r="G7" t="str">
        <f>'avg3 comparison'!C7</f>
        <v>MIXED</v>
      </c>
      <c r="H7">
        <f>'avg3 comparison'!S7</f>
        <v>288.45</v>
      </c>
      <c r="I7">
        <f>'avg3 comparison'!S13</f>
        <v>310.43</v>
      </c>
      <c r="P7" t="str">
        <f>'avg3 comparison'!C7</f>
        <v>MIXED</v>
      </c>
      <c r="Q7">
        <f>'avg3 comparison'!AG7</f>
        <v>0.1321</v>
      </c>
      <c r="R7">
        <f>'avg3 comparison'!Z7</f>
        <v>0.56340000000000001</v>
      </c>
      <c r="U7" t="str">
        <f>'avg3 comparison'!C7</f>
        <v>MIXED</v>
      </c>
      <c r="V7">
        <f>'avg3 comparison'!AD7</f>
        <v>0.96930000000000005</v>
      </c>
      <c r="W7">
        <f>'avg3 comparison'!AD13</f>
        <v>0.97040000000000004</v>
      </c>
      <c r="AN7" t="str">
        <f>Shapes!D7</f>
        <v>4096x1024</v>
      </c>
      <c r="AO7">
        <f>Shapes!Q7</f>
        <v>73.849999999999994</v>
      </c>
      <c r="AP7">
        <f>Shapes!Q19</f>
        <v>74.569999999999993</v>
      </c>
      <c r="AQ7">
        <f>Shapes!Q31</f>
        <v>73.64</v>
      </c>
      <c r="AR7">
        <f>Shapes!Q43</f>
        <v>73.45</v>
      </c>
      <c r="AS7">
        <f>Shapes!Q55</f>
        <v>72.739999999999995</v>
      </c>
      <c r="AT7">
        <f>Shapes!P7</f>
        <v>73.849999999999994</v>
      </c>
      <c r="AU7">
        <f>Shapes!P19</f>
        <v>149.13</v>
      </c>
      <c r="AV7">
        <f>Shapes!P31</f>
        <v>294.57</v>
      </c>
      <c r="AW7">
        <f>Shapes!P43</f>
        <v>587.58000000000004</v>
      </c>
      <c r="AX7">
        <f>Shapes!P55</f>
        <v>1163.8599999999999</v>
      </c>
      <c r="AY7">
        <f t="shared" si="1"/>
        <v>76.8</v>
      </c>
      <c r="BC7" t="str">
        <f t="shared" si="2"/>
        <v>4096x1024</v>
      </c>
      <c r="BD7">
        <f t="shared" si="3"/>
        <v>73.849999999999994</v>
      </c>
      <c r="BE7">
        <f t="shared" si="4"/>
        <v>74.569999999999993</v>
      </c>
      <c r="BF7">
        <f t="shared" si="5"/>
        <v>73.64</v>
      </c>
      <c r="BG7">
        <f t="shared" si="6"/>
        <v>73.45</v>
      </c>
      <c r="BH7">
        <f t="shared" si="7"/>
        <v>72.739999999999995</v>
      </c>
      <c r="BI7">
        <f t="shared" si="8"/>
        <v>76.8</v>
      </c>
      <c r="BK7" t="str">
        <f>Shapes!D7</f>
        <v>4096x1024</v>
      </c>
      <c r="BL7">
        <f>Shapes!M7</f>
        <v>113.5937</v>
      </c>
      <c r="BM7">
        <f>Shapes!M19</f>
        <v>56.248699999999999</v>
      </c>
      <c r="BN7">
        <f>Shapes!M31</f>
        <v>28.4773</v>
      </c>
      <c r="BO7">
        <f>Shapes!M43</f>
        <v>14.2766</v>
      </c>
      <c r="BP7">
        <f>Shapes!M55</f>
        <v>7.2076000000000002</v>
      </c>
      <c r="BQ7">
        <f>Shapes!M67</f>
        <v>26.3139</v>
      </c>
    </row>
    <row r="8" spans="1:69" x14ac:dyDescent="0.35">
      <c r="A8" t="str">
        <f>Shapes!C20</f>
        <v>G7</v>
      </c>
      <c r="B8">
        <f>Shapes!S20</f>
        <v>1.9978</v>
      </c>
      <c r="C8">
        <f>Shapes!S32</f>
        <v>3.9828999999999999</v>
      </c>
      <c r="D8">
        <f>Shapes!S44</f>
        <v>7.9751000000000003</v>
      </c>
      <c r="E8">
        <f>Shapes!S56</f>
        <v>16.0367</v>
      </c>
      <c r="AN8" t="str">
        <f>Shapes!D8</f>
        <v>1024x4096</v>
      </c>
      <c r="AO8">
        <f>Shapes!Q8</f>
        <v>74.2</v>
      </c>
      <c r="AP8">
        <f>Shapes!Q20</f>
        <v>74.12</v>
      </c>
      <c r="AQ8">
        <f>Shapes!Q32</f>
        <v>73.88</v>
      </c>
      <c r="AR8">
        <f>Shapes!Q44</f>
        <v>73.97</v>
      </c>
      <c r="AS8">
        <f>Shapes!Q56</f>
        <v>74.37</v>
      </c>
      <c r="AT8">
        <f>Shapes!P8</f>
        <v>74.2</v>
      </c>
      <c r="AU8">
        <f>Shapes!P20</f>
        <v>148.22999999999999</v>
      </c>
      <c r="AV8">
        <f>Shapes!P32</f>
        <v>295.52</v>
      </c>
      <c r="AW8">
        <f>Shapes!P44</f>
        <v>591.73</v>
      </c>
      <c r="AX8">
        <f>Shapes!P56</f>
        <v>1189.8699999999999</v>
      </c>
      <c r="AY8">
        <f t="shared" si="1"/>
        <v>76.8</v>
      </c>
      <c r="BC8" t="str">
        <f t="shared" si="2"/>
        <v>1024x4096</v>
      </c>
      <c r="BD8">
        <f t="shared" si="3"/>
        <v>74.2</v>
      </c>
      <c r="BE8">
        <f t="shared" si="4"/>
        <v>74.12</v>
      </c>
      <c r="BF8">
        <f t="shared" si="5"/>
        <v>73.88</v>
      </c>
      <c r="BG8">
        <f t="shared" si="6"/>
        <v>73.97</v>
      </c>
      <c r="BH8">
        <f t="shared" si="7"/>
        <v>74.37</v>
      </c>
      <c r="BI8">
        <f t="shared" si="8"/>
        <v>76.8</v>
      </c>
      <c r="BK8" t="str">
        <f>Shapes!D8</f>
        <v>1024x4096</v>
      </c>
      <c r="BL8">
        <f>Shapes!M8</f>
        <v>113.0586</v>
      </c>
      <c r="BM8">
        <f>Shapes!M20</f>
        <v>56.590200000000003</v>
      </c>
      <c r="BN8">
        <f>Shapes!M32</f>
        <v>28.385899999999999</v>
      </c>
      <c r="BO8">
        <f>Shapes!M44</f>
        <v>14.176500000000001</v>
      </c>
      <c r="BP8">
        <f>Shapes!M56</f>
        <v>7.05</v>
      </c>
      <c r="BQ8">
        <f>Shapes!M68</f>
        <v>26.0928</v>
      </c>
    </row>
    <row r="9" spans="1:69" x14ac:dyDescent="0.35">
      <c r="A9" t="str">
        <f>Shapes!C21</f>
        <v>G8</v>
      </c>
      <c r="B9">
        <f>Shapes!S21</f>
        <v>1.9745999999999999</v>
      </c>
      <c r="C9">
        <f>Shapes!S33</f>
        <v>3.9630000000000001</v>
      </c>
      <c r="D9">
        <f>Shapes!S45</f>
        <v>8.0017999999999994</v>
      </c>
      <c r="E9">
        <f>Shapes!S57</f>
        <v>15.825799999999999</v>
      </c>
      <c r="G9" s="5" t="s">
        <v>161</v>
      </c>
      <c r="K9" s="5" t="s">
        <v>164</v>
      </c>
      <c r="P9" s="5" t="s">
        <v>167</v>
      </c>
      <c r="U9" s="5" t="s">
        <v>168</v>
      </c>
      <c r="Y9" s="5" t="s">
        <v>169</v>
      </c>
      <c r="AC9" s="5" t="s">
        <v>171</v>
      </c>
      <c r="AF9" s="5" t="s">
        <v>182</v>
      </c>
      <c r="AN9" t="str">
        <f>Shapes!D9</f>
        <v>2048x2048</v>
      </c>
      <c r="AO9">
        <f>Shapes!Q9</f>
        <v>74.45</v>
      </c>
      <c r="AP9">
        <f>Shapes!Q21</f>
        <v>73.510000000000005</v>
      </c>
      <c r="AQ9">
        <f>Shapes!Q33</f>
        <v>73.77</v>
      </c>
      <c r="AR9">
        <f>Shapes!Q45</f>
        <v>74.47</v>
      </c>
      <c r="AS9">
        <f>Shapes!Q57</f>
        <v>73.64</v>
      </c>
      <c r="AT9">
        <f>Shapes!P9</f>
        <v>74.45</v>
      </c>
      <c r="AU9">
        <f>Shapes!P21</f>
        <v>147.02000000000001</v>
      </c>
      <c r="AV9">
        <f>Shapes!P33</f>
        <v>295.06</v>
      </c>
      <c r="AW9">
        <f>Shapes!P45</f>
        <v>595.76</v>
      </c>
      <c r="AX9">
        <f>Shapes!P57</f>
        <v>1178.3</v>
      </c>
      <c r="AY9">
        <f t="shared" si="1"/>
        <v>76.8</v>
      </c>
      <c r="BC9" t="str">
        <f t="shared" si="2"/>
        <v>2048x2048</v>
      </c>
      <c r="BD9">
        <f t="shared" si="3"/>
        <v>74.45</v>
      </c>
      <c r="BE9">
        <f t="shared" si="4"/>
        <v>73.510000000000005</v>
      </c>
      <c r="BF9">
        <f t="shared" si="5"/>
        <v>73.77</v>
      </c>
      <c r="BG9">
        <f t="shared" si="6"/>
        <v>74.47</v>
      </c>
      <c r="BH9">
        <f t="shared" si="7"/>
        <v>73.64</v>
      </c>
      <c r="BI9">
        <f t="shared" si="8"/>
        <v>76.8</v>
      </c>
      <c r="BK9" t="str">
        <f>Shapes!D9</f>
        <v>2048x2048</v>
      </c>
      <c r="BL9">
        <f>Shapes!M9</f>
        <v>112.6688</v>
      </c>
      <c r="BM9">
        <f>Shapes!M21</f>
        <v>57.058</v>
      </c>
      <c r="BN9">
        <f>Shapes!M33</f>
        <v>28.4299</v>
      </c>
      <c r="BO9">
        <f>Shapes!M45</f>
        <v>14.080399999999999</v>
      </c>
      <c r="BP9">
        <f>Shapes!M57</f>
        <v>7.1193</v>
      </c>
      <c r="BQ9">
        <f>Shapes!M69</f>
        <v>26.226600000000001</v>
      </c>
    </row>
    <row r="10" spans="1:69" x14ac:dyDescent="0.35">
      <c r="A10" t="str">
        <f>Shapes!C22</f>
        <v>G9</v>
      </c>
      <c r="B10">
        <f>Shapes!S22</f>
        <v>2.0206</v>
      </c>
      <c r="C10">
        <f>Shapes!S34</f>
        <v>3.9729000000000001</v>
      </c>
      <c r="D10">
        <f>Shapes!S46</f>
        <v>7.9962999999999997</v>
      </c>
      <c r="E10">
        <f>Shapes!S58</f>
        <v>16.005600000000001</v>
      </c>
      <c r="AN10" t="str">
        <f>Shapes!D10</f>
        <v>4096x4096</v>
      </c>
      <c r="AO10">
        <f>Shapes!Q10</f>
        <v>74.17</v>
      </c>
      <c r="AP10">
        <f>Shapes!Q22</f>
        <v>74.930000000000007</v>
      </c>
      <c r="AQ10">
        <f>Shapes!Q34</f>
        <v>73.66</v>
      </c>
      <c r="AR10">
        <f>Shapes!Q46</f>
        <v>74.13</v>
      </c>
      <c r="AS10">
        <f>Shapes!Q58</f>
        <v>74.19</v>
      </c>
      <c r="AT10">
        <f>Shapes!P10</f>
        <v>74.17</v>
      </c>
      <c r="AU10">
        <f>Shapes!P22</f>
        <v>149.86000000000001</v>
      </c>
      <c r="AV10">
        <f>Shapes!P34</f>
        <v>294.66000000000003</v>
      </c>
      <c r="AW10">
        <f>Shapes!P46</f>
        <v>593.05999999999995</v>
      </c>
      <c r="AX10">
        <f>Shapes!P58</f>
        <v>1187.08</v>
      </c>
      <c r="AY10">
        <f t="shared" si="1"/>
        <v>76.8</v>
      </c>
      <c r="BC10" t="str">
        <f t="shared" si="2"/>
        <v>4096x4096</v>
      </c>
      <c r="BD10">
        <f t="shared" si="3"/>
        <v>74.17</v>
      </c>
      <c r="BE10">
        <f t="shared" si="4"/>
        <v>74.930000000000007</v>
      </c>
      <c r="BF10">
        <f t="shared" si="5"/>
        <v>73.66</v>
      </c>
      <c r="BG10">
        <f t="shared" si="6"/>
        <v>74.13</v>
      </c>
      <c r="BH10">
        <f t="shared" si="7"/>
        <v>74.19</v>
      </c>
      <c r="BI10">
        <f t="shared" si="8"/>
        <v>76.8</v>
      </c>
      <c r="BK10" t="str">
        <f>Shapes!D10</f>
        <v>4096x4096</v>
      </c>
      <c r="BL10">
        <f>Shapes!M10</f>
        <v>452.42020000000002</v>
      </c>
      <c r="BM10">
        <f>Shapes!M22</f>
        <v>223.9066</v>
      </c>
      <c r="BN10">
        <f>Shapes!M34</f>
        <v>113.87560000000001</v>
      </c>
      <c r="BO10">
        <f>Shapes!M46</f>
        <v>56.578699999999998</v>
      </c>
      <c r="BP10">
        <f>Shapes!M58</f>
        <v>28.266400000000001</v>
      </c>
      <c r="BQ10">
        <f>Shapes!M70</f>
        <v>104.3351</v>
      </c>
    </row>
    <row r="11" spans="1:69" x14ac:dyDescent="0.35">
      <c r="A11" t="str">
        <f>Shapes!C23</f>
        <v>G10</v>
      </c>
      <c r="B11">
        <f>Shapes!S23</f>
        <v>2.0022000000000002</v>
      </c>
      <c r="C11">
        <f>Shapes!S35</f>
        <v>3.9874999999999998</v>
      </c>
      <c r="D11">
        <f>Shapes!S47</f>
        <v>7.9686000000000003</v>
      </c>
      <c r="E11">
        <f>Shapes!S59</f>
        <v>15.956899999999999</v>
      </c>
      <c r="AN11" t="str">
        <f>Shapes!D11</f>
        <v>8192x2048</v>
      </c>
      <c r="AO11">
        <f>Shapes!Q11</f>
        <v>73.91</v>
      </c>
      <c r="AP11">
        <f>Shapes!Q23</f>
        <v>73.989999999999995</v>
      </c>
      <c r="AQ11">
        <f>Shapes!Q35</f>
        <v>73.680000000000007</v>
      </c>
      <c r="AR11">
        <f>Shapes!Q47</f>
        <v>73.62</v>
      </c>
      <c r="AS11">
        <f>Shapes!Q59</f>
        <v>73.709999999999994</v>
      </c>
      <c r="AT11">
        <f>Shapes!P11</f>
        <v>73.91</v>
      </c>
      <c r="AU11">
        <f>Shapes!P23</f>
        <v>147.99</v>
      </c>
      <c r="AV11">
        <f>Shapes!P35</f>
        <v>294.72000000000003</v>
      </c>
      <c r="AW11">
        <f>Shapes!P47</f>
        <v>588.98</v>
      </c>
      <c r="AX11">
        <f>Shapes!P59</f>
        <v>1179.4100000000001</v>
      </c>
      <c r="AY11">
        <f t="shared" si="1"/>
        <v>76.8</v>
      </c>
      <c r="BC11" t="str">
        <f t="shared" si="2"/>
        <v>8192x2048</v>
      </c>
      <c r="BD11">
        <f t="shared" si="3"/>
        <v>73.91</v>
      </c>
      <c r="BE11">
        <f t="shared" si="4"/>
        <v>73.989999999999995</v>
      </c>
      <c r="BF11">
        <f t="shared" si="5"/>
        <v>73.680000000000007</v>
      </c>
      <c r="BG11">
        <f t="shared" si="6"/>
        <v>73.62</v>
      </c>
      <c r="BH11">
        <f t="shared" si="7"/>
        <v>73.709999999999994</v>
      </c>
      <c r="BI11">
        <f t="shared" si="8"/>
        <v>76.8</v>
      </c>
      <c r="BK11" t="str">
        <f>Shapes!D11</f>
        <v>8192x2048</v>
      </c>
      <c r="BL11">
        <f>Shapes!M11</f>
        <v>453.9778</v>
      </c>
      <c r="BM11">
        <f>Shapes!M23</f>
        <v>226.73570000000001</v>
      </c>
      <c r="BN11">
        <f>Shapes!M35</f>
        <v>113.8514</v>
      </c>
      <c r="BO11">
        <f>Shapes!M47</f>
        <v>56.970500000000001</v>
      </c>
      <c r="BP11">
        <f>Shapes!M59</f>
        <v>28.450299999999999</v>
      </c>
      <c r="BQ11">
        <f>Shapes!M71</f>
        <v>106.1097</v>
      </c>
    </row>
    <row r="12" spans="1:69" x14ac:dyDescent="0.35">
      <c r="A12" t="str">
        <f>Shapes!C24</f>
        <v>G11</v>
      </c>
      <c r="B12">
        <f>Shapes!S24</f>
        <v>2.02</v>
      </c>
      <c r="C12">
        <f>Shapes!S36</f>
        <v>4.0167999999999999</v>
      </c>
      <c r="D12">
        <f>Shapes!S48</f>
        <v>8.0263000000000009</v>
      </c>
      <c r="E12">
        <f>Shapes!S60</f>
        <v>16.263200000000001</v>
      </c>
      <c r="AN12" t="str">
        <f>Shapes!D12</f>
        <v>2048x8192</v>
      </c>
      <c r="AO12">
        <f>Shapes!Q12</f>
        <v>73.790000000000006</v>
      </c>
      <c r="AP12">
        <f>Shapes!Q24</f>
        <v>74.53</v>
      </c>
      <c r="AQ12">
        <f>Shapes!Q36</f>
        <v>74.099999999999994</v>
      </c>
      <c r="AR12">
        <f>Shapes!Q48</f>
        <v>74.040000000000006</v>
      </c>
      <c r="AS12">
        <f>Shapes!Q60</f>
        <v>75.010000000000005</v>
      </c>
      <c r="AT12">
        <f>Shapes!P12</f>
        <v>73.790000000000006</v>
      </c>
      <c r="AU12">
        <f>Shapes!P24</f>
        <v>149.06</v>
      </c>
      <c r="AV12">
        <f>Shapes!P36</f>
        <v>296.42</v>
      </c>
      <c r="AW12">
        <f>Shapes!P48</f>
        <v>592.29999999999995</v>
      </c>
      <c r="AX12">
        <f>Shapes!P60</f>
        <v>1200.1300000000001</v>
      </c>
      <c r="AY12">
        <f t="shared" si="1"/>
        <v>76.8</v>
      </c>
      <c r="BC12" t="str">
        <f t="shared" si="2"/>
        <v>2048x8192</v>
      </c>
      <c r="BD12">
        <f t="shared" si="3"/>
        <v>73.790000000000006</v>
      </c>
      <c r="BE12">
        <f t="shared" si="4"/>
        <v>74.53</v>
      </c>
      <c r="BF12">
        <f t="shared" si="5"/>
        <v>74.099999999999994</v>
      </c>
      <c r="BG12">
        <f t="shared" si="6"/>
        <v>74.040000000000006</v>
      </c>
      <c r="BH12">
        <f t="shared" si="7"/>
        <v>75.010000000000005</v>
      </c>
      <c r="BI12">
        <f t="shared" si="8"/>
        <v>76.8</v>
      </c>
      <c r="BK12" t="str">
        <f>Shapes!D12</f>
        <v>2048x8192</v>
      </c>
      <c r="BL12">
        <f>Shapes!M12</f>
        <v>454.70249999999999</v>
      </c>
      <c r="BM12">
        <f>Shapes!M24</f>
        <v>225.10550000000001</v>
      </c>
      <c r="BN12">
        <f>Shapes!M36</f>
        <v>113.20059999999999</v>
      </c>
      <c r="BO12">
        <f>Shapes!M48</f>
        <v>56.651400000000002</v>
      </c>
      <c r="BP12">
        <f>Shapes!M60</f>
        <v>27.9589</v>
      </c>
      <c r="BQ12">
        <f>Shapes!M72</f>
        <v>104.3028</v>
      </c>
    </row>
    <row r="13" spans="1:69" x14ac:dyDescent="0.35">
      <c r="A13" t="str">
        <f>Shapes!C25</f>
        <v>GEOMEAN</v>
      </c>
      <c r="B13">
        <f>Shapes!S25</f>
        <v>1.9999</v>
      </c>
      <c r="C13">
        <f>Shapes!S37</f>
        <v>3.9622999999999999</v>
      </c>
      <c r="D13">
        <f>Shapes!S49</f>
        <v>7.9318</v>
      </c>
      <c r="E13">
        <f>Shapes!S61</f>
        <v>15.811299999999999</v>
      </c>
    </row>
    <row r="14" spans="1:69" x14ac:dyDescent="0.35">
      <c r="AN14" s="5" t="s">
        <v>191</v>
      </c>
      <c r="BC14" s="5" t="s">
        <v>193</v>
      </c>
    </row>
    <row r="15" spans="1:69" x14ac:dyDescent="0.35">
      <c r="A15" s="5" t="s">
        <v>157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3BAD2-3957-4B54-84EE-860FE2FCB01E}">
  <dimension ref="A1"/>
  <sheetViews>
    <sheetView tabSelected="1" topLeftCell="A64" zoomScale="70" zoomScaleNormal="70" workbookViewId="0">
      <selection activeCell="AB74" sqref="AB74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avg3 comparison</vt:lpstr>
      <vt:lpstr>Shapes</vt:lpstr>
      <vt:lpstr>Master</vt:lpstr>
      <vt:lpstr>Mixed sparsity</vt:lpstr>
      <vt:lpstr>Floorplan SLR</vt:lpstr>
      <vt:lpstr>Chart Data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Σωζος Κουλας</cp:lastModifiedBy>
  <dcterms:created xsi:type="dcterms:W3CDTF">2026-09-02T22:07:12Z</dcterms:created>
  <dcterms:modified xsi:type="dcterms:W3CDTF">2026-09-03T12:20:18Z</dcterms:modified>
</cp:coreProperties>
</file>